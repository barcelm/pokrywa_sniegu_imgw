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S:\RP\RPC Hydrologia\DYREKTOR_TECHNICZNY\2024\METEO-opady\Mapa_pokrywy_sniegu\"/>
    </mc:Choice>
  </mc:AlternateContent>
  <xr:revisionPtr revIDLastSave="0" documentId="13_ncr:1_{DF30A7A3-8531-4157-BBCE-A3864A24E87D}" xr6:coauthVersionLast="47" xr6:coauthVersionMax="47" xr10:uidLastSave="{00000000-0000-0000-0000-000000000000}"/>
  <bookViews>
    <workbookView xWindow="28680" yWindow="-120" windowWidth="29040" windowHeight="15840" xr2:uid="{E4E16A74-9B3D-43AB-AE45-1CEFE51AC5C7}"/>
  </bookViews>
  <sheets>
    <sheet name="A" sheetId="1" r:id="rId1"/>
    <sheet name="Arkusz2" sheetId="5" r:id="rId2"/>
    <sheet name="Table001 (Page 1)" sheetId="3" r:id="rId3"/>
    <sheet name="Table002 (Page 2)" sheetId="4" r:id="rId4"/>
  </sheets>
  <definedNames>
    <definedName name="ExternalData_1" localSheetId="2" hidden="1">'Table001 (Page 1)'!$A$1:$J$72</definedName>
    <definedName name="ExternalData_2" localSheetId="3" hidden="1">'Table002 (Page 2)'!$A$1:$J$90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" l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023068-0A46-4D65-8014-9763106613DC}" keepAlive="1" name="Zapytanie — Table001 (Page 1)" description="Połączenie z zapytaniem „Table001 (Page 1)” w skoroszycie." type="5" refreshedVersion="8" background="1" saveData="1">
    <dbPr connection="Provider=Microsoft.Mashup.OleDb.1;Data Source=$Workbook$;Location=&quot;Table001 (Page 1)&quot;;Extended Properties=&quot;&quot;" command="SELECT * FROM [Table001 (Page 1)]"/>
  </connection>
  <connection id="2" xr16:uid="{4514F77A-FB89-43EE-9B27-8F481B2BE1D9}" keepAlive="1" name="Zapytanie — Table002 (Page 2)" description="Połączenie z zapytaniem „Table002 (Page 2)” w skoroszycie." type="5" refreshedVersion="8" background="1" saveData="1">
    <dbPr connection="Provider=Microsoft.Mashup.OleDb.1;Data Source=$Workbook$;Location=&quot;Table002 (Page 2)&quot;;Extended Properties=&quot;&quot;" command="SELECT * FROM [Table002 (Page 2)]"/>
  </connection>
</connections>
</file>

<file path=xl/sharedStrings.xml><?xml version="1.0" encoding="utf-8"?>
<sst xmlns="http://schemas.openxmlformats.org/spreadsheetml/2006/main" count="1445" uniqueCount="683">
  <si>
    <r>
      <rPr>
        <b/>
        <sz val="9"/>
        <rFont val="Arial"/>
        <family val="2"/>
      </rPr>
      <t>Lp.</t>
    </r>
  </si>
  <si>
    <r>
      <rPr>
        <b/>
        <sz val="9"/>
        <rFont val="Arial"/>
        <family val="2"/>
      </rPr>
      <t>Grubosc
pokrywy</t>
    </r>
    <r>
      <rPr>
        <b/>
        <sz val="9"/>
        <color rgb="FF000000"/>
        <rFont val="Times New Roman"/>
        <family val="1"/>
        <charset val="238"/>
      </rPr>
      <t xml:space="preserve"> [cm]</t>
    </r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</si>
  <si>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</si>
  <si>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</si>
  <si>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</si>
  <si>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</si>
  <si>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</si>
  <si>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</si>
  <si>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</si>
  <si>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</si>
  <si>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</si>
  <si>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</si>
  <si>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Nazwa stacji</t>
  </si>
  <si>
    <t>Rzeka</t>
  </si>
  <si>
    <t>Zlewnia</t>
  </si>
  <si>
    <t>Województwo</t>
  </si>
  <si>
    <t>Wysokość</t>
  </si>
  <si>
    <t>Grubość
pokrywy</t>
  </si>
  <si>
    <t>Grubość
świeżo
spadłego
śniegu</t>
  </si>
  <si>
    <t>Gatunek
śniegu</t>
  </si>
  <si>
    <t>A</t>
  </si>
  <si>
    <t>B</t>
  </si>
  <si>
    <t>C</t>
  </si>
  <si>
    <t>D</t>
  </si>
  <si>
    <t>E</t>
  </si>
  <si>
    <t>cm</t>
  </si>
  <si>
    <t>kod</t>
  </si>
  <si>
    <t>mm</t>
  </si>
  <si>
    <t>F</t>
  </si>
  <si>
    <t>G</t>
  </si>
  <si>
    <t>H</t>
  </si>
  <si>
    <t>I</t>
  </si>
  <si>
    <t>J</t>
  </si>
  <si>
    <t>BOGATYNIA</t>
  </si>
  <si>
    <t>Miedzianka (17416)</t>
  </si>
  <si>
    <t>Nysa Łużycka (174)</t>
  </si>
  <si>
    <t>dolnośląskie</t>
  </si>
  <si>
    <t/>
  </si>
  <si>
    <t>BOLESŁAWÓW</t>
  </si>
  <si>
    <t>Morawka (12162)</t>
  </si>
  <si>
    <t>Nysa Kłodzka (12)</t>
  </si>
  <si>
    <t>BUKÓWKA</t>
  </si>
  <si>
    <t>Bóbr (16)</t>
  </si>
  <si>
    <t>GRYFÓW ŚLĄSKI</t>
  </si>
  <si>
    <t>Kwisa (166)</t>
  </si>
  <si>
    <t>JAKUSZYCE</t>
  </si>
  <si>
    <t>Kamienna (162)</t>
  </si>
  <si>
    <t>JELCZ-LASKOWICE</t>
  </si>
  <si>
    <t>Widawa (136)</t>
  </si>
  <si>
    <t>JELENIA GÓRA</t>
  </si>
  <si>
    <t>342</t>
  </si>
  <si>
    <t>5</t>
  </si>
  <si>
    <t>KAMIENICA</t>
  </si>
  <si>
    <t>Kamienica (121624)</t>
  </si>
  <si>
    <t>KAMIENNA GÓRA</t>
  </si>
  <si>
    <t>KARPACZ</t>
  </si>
  <si>
    <t>Skałka (161844)</t>
  </si>
  <si>
    <t>KŁODZKO</t>
  </si>
  <si>
    <t>356</t>
  </si>
  <si>
    <t>LĄDEK-ZDRÓJ</t>
  </si>
  <si>
    <t>Biała Lądecka (1216)</t>
  </si>
  <si>
    <t>LEGNICA</t>
  </si>
  <si>
    <t>Kaczawa (138)</t>
  </si>
  <si>
    <t>LUBOMIERZ</t>
  </si>
  <si>
    <t>Oldza (1664)</t>
  </si>
  <si>
    <t>MIĘDZYGÓRZE</t>
  </si>
  <si>
    <t>Wilczka (1212)</t>
  </si>
  <si>
    <t>MIĘDZYLESIE</t>
  </si>
  <si>
    <t>PAPROTKI</t>
  </si>
  <si>
    <t>Bachorzyna (161154)</t>
  </si>
  <si>
    <t>Piława (1344)</t>
  </si>
  <si>
    <t>Bystrzyca (134)</t>
  </si>
  <si>
    <t>SŁOSZÓW</t>
  </si>
  <si>
    <t>Wapienny (12182)</t>
  </si>
  <si>
    <t>STRONIE ŚLĄSKIE</t>
  </si>
  <si>
    <t>SZKLARSKA PORĘBA</t>
  </si>
  <si>
    <t>Kamieńczyk (1622)</t>
  </si>
  <si>
    <t>ŚNIEŻKA</t>
  </si>
  <si>
    <t>Łomniczka (16184)</t>
  </si>
  <si>
    <t>1603</t>
  </si>
  <si>
    <t>3</t>
  </si>
  <si>
    <t>ŚWIERADÓW-ZDRÓJ II</t>
  </si>
  <si>
    <t>595</t>
  </si>
  <si>
    <t>TARNÓW</t>
  </si>
  <si>
    <t>Budzówka (1232)</t>
  </si>
  <si>
    <t>Odra (1)</t>
  </si>
  <si>
    <t>120</t>
  </si>
  <si>
    <t>ZIELENIEC II</t>
  </si>
  <si>
    <t>Bystrzyca Dusznicka (12</t>
  </si>
  <si>
    <t>720</t>
  </si>
  <si>
    <t>TORUŃ</t>
  </si>
  <si>
    <t>Wisła (2)</t>
  </si>
  <si>
    <t>Wisła od Drwęcy do Brdy (291)</t>
  </si>
  <si>
    <t>kujawsko-pomorskie</t>
  </si>
  <si>
    <t>69</t>
  </si>
  <si>
    <t>JARCZEW</t>
  </si>
  <si>
    <t>Wilga (2536)</t>
  </si>
  <si>
    <t>Wisła od Wieprza do Narwi (25)</t>
  </si>
  <si>
    <t>lubelskie</t>
  </si>
  <si>
    <t>180</t>
  </si>
  <si>
    <t>LUBLIN-RADAWIEC</t>
  </si>
  <si>
    <t>Bystrzyca (246)</t>
  </si>
  <si>
    <t>238</t>
  </si>
  <si>
    <t>RADZYŃ PODLASKI</t>
  </si>
  <si>
    <t>Tyśmienica (248)</t>
  </si>
  <si>
    <t>150</t>
  </si>
  <si>
    <t>STRZYŻÓW</t>
  </si>
  <si>
    <t>Bug (266)</t>
  </si>
  <si>
    <t>181</t>
  </si>
  <si>
    <t>TERESPOL</t>
  </si>
  <si>
    <t>133</t>
  </si>
  <si>
    <t>6</t>
  </si>
  <si>
    <t>WŁODAWA</t>
  </si>
  <si>
    <t>177</t>
  </si>
  <si>
    <t>ZAMOŚĆ</t>
  </si>
  <si>
    <t>Wieprz (24)</t>
  </si>
  <si>
    <t>223</t>
  </si>
  <si>
    <t>GORZÓW WIELKOPOLSKI</t>
  </si>
  <si>
    <t>Warta (18)</t>
  </si>
  <si>
    <t>Warta od Noteci do ujścia (189)</t>
  </si>
  <si>
    <t>lubuskie</t>
  </si>
  <si>
    <t>71</t>
  </si>
  <si>
    <t>SŁUBICE</t>
  </si>
  <si>
    <t>53</t>
  </si>
  <si>
    <t>ZIELONA GÓRA</t>
  </si>
  <si>
    <t>Odra od Baryczy do Bobru (15)</t>
  </si>
  <si>
    <t>192</t>
  </si>
  <si>
    <t>CHEŁSTY</t>
  </si>
  <si>
    <t>Czarna (Maleniecka) (25</t>
  </si>
  <si>
    <t>łódzkie</t>
  </si>
  <si>
    <t>220</t>
  </si>
  <si>
    <t>JAROSTY</t>
  </si>
  <si>
    <t>Luciąża (25452)</t>
  </si>
  <si>
    <t>Pilica (254)</t>
  </si>
  <si>
    <t>197</t>
  </si>
  <si>
    <t>Ner (1832)</t>
  </si>
  <si>
    <t>174</t>
  </si>
  <si>
    <t>MIRKÓW</t>
  </si>
  <si>
    <t>Prosna (184)</t>
  </si>
  <si>
    <t>PLUCICE</t>
  </si>
  <si>
    <t>204</t>
  </si>
  <si>
    <t>SIERADZ-DZIGORZEW</t>
  </si>
  <si>
    <t>128</t>
  </si>
  <si>
    <t>SILNICZKA</t>
  </si>
  <si>
    <t>215</t>
  </si>
  <si>
    <t>SULEJÓW</t>
  </si>
  <si>
    <t>188</t>
  </si>
  <si>
    <t>WIELUŃ</t>
  </si>
  <si>
    <t>Warta do Widawki (181)</t>
  </si>
  <si>
    <t>199</t>
  </si>
  <si>
    <t>BOGDANÓWKA</t>
  </si>
  <si>
    <t>Raba (2138)</t>
  </si>
  <si>
    <t>małopolskie</t>
  </si>
  <si>
    <t>812</t>
  </si>
  <si>
    <t>BUKOWINA TATRZAŃSKA</t>
  </si>
  <si>
    <t>Białka (214154)</t>
  </si>
  <si>
    <t>Dunajec do Popradu (2141)</t>
  </si>
  <si>
    <t>902</t>
  </si>
  <si>
    <t>DOLINA PIĘCIU STAWÓW</t>
  </si>
  <si>
    <t>Dunajec (214)</t>
  </si>
  <si>
    <t>HALA GĄSIENICOWA</t>
  </si>
  <si>
    <t>JABŁONKA</t>
  </si>
  <si>
    <t>Czarna Orawa (8222)</t>
  </si>
  <si>
    <t>614</t>
  </si>
  <si>
    <t>KASPROWY WIERCH</t>
  </si>
  <si>
    <t>KRAKÓW-BALICE</t>
  </si>
  <si>
    <t>236</t>
  </si>
  <si>
    <t>KRYNICA</t>
  </si>
  <si>
    <t>Poprad (2142)</t>
  </si>
  <si>
    <t>582</t>
  </si>
  <si>
    <t>KRZECZÓW</t>
  </si>
  <si>
    <t>548</t>
  </si>
  <si>
    <t>ŁABOWA</t>
  </si>
  <si>
    <t>Kamienica (21432)</t>
  </si>
  <si>
    <t>455</t>
  </si>
  <si>
    <t>ŁAPANÓW</t>
  </si>
  <si>
    <t>Stradomka (21388)</t>
  </si>
  <si>
    <t>MORSKIE OKO</t>
  </si>
  <si>
    <t>Rybi Potok (2141542)</t>
  </si>
  <si>
    <t>MUSZYNA</t>
  </si>
  <si>
    <t>445</t>
  </si>
  <si>
    <t>NIEDZICA</t>
  </si>
  <si>
    <t>Niedziczanka (214172)</t>
  </si>
  <si>
    <t>534</t>
  </si>
  <si>
    <t>NOWY SĄCZ</t>
  </si>
  <si>
    <t>292</t>
  </si>
  <si>
    <t>PIWNICZNA</t>
  </si>
  <si>
    <t>380</t>
  </si>
  <si>
    <t>PORONIN</t>
  </si>
  <si>
    <t>Biały Dunajec (21412)</t>
  </si>
  <si>
    <t>776</t>
  </si>
  <si>
    <t>RABA WYŻNA</t>
  </si>
  <si>
    <t>536</t>
  </si>
  <si>
    <t>RATUŁÓW</t>
  </si>
  <si>
    <t>Wielki Rogoźnik (214116</t>
  </si>
  <si>
    <t>679</t>
  </si>
  <si>
    <t>Biała (2148)</t>
  </si>
  <si>
    <t>TRZEMEŚNIA</t>
  </si>
  <si>
    <t>WĘGLÓWKA</t>
  </si>
  <si>
    <t>WITÓW</t>
  </si>
  <si>
    <t>Czarny Dunajec (21411)</t>
  </si>
  <si>
    <t>WYSOWA</t>
  </si>
  <si>
    <t>Ropa (2182)</t>
  </si>
  <si>
    <t>Wisłoka (218)</t>
  </si>
  <si>
    <t>ZAKOPANE</t>
  </si>
  <si>
    <t>ZAWOJA</t>
  </si>
  <si>
    <t>Skawica (21344)</t>
  </si>
  <si>
    <t>Skawa (2134)</t>
  </si>
  <si>
    <t>ZUBRZYCA DOLNA</t>
  </si>
  <si>
    <t>mazowieckie</t>
  </si>
  <si>
    <t>KOZIENICE</t>
  </si>
  <si>
    <t>MŁAWA</t>
  </si>
  <si>
    <t>Wkra (268)</t>
  </si>
  <si>
    <t>PŁOCK</t>
  </si>
  <si>
    <t>SIEDLCE</t>
  </si>
  <si>
    <t>Liwiec (2668)</t>
  </si>
  <si>
    <t>GŁUBCZYCE</t>
  </si>
  <si>
    <t>Psina (1152)</t>
  </si>
  <si>
    <t>Odra od Olzy do Kłodnicy (115)</t>
  </si>
  <si>
    <t>opolskie</t>
  </si>
  <si>
    <t>GŁUCHOŁAZY</t>
  </si>
  <si>
    <t>JARNOŁTÓWEK</t>
  </si>
  <si>
    <t>Złoty Potok (117644)</t>
  </si>
  <si>
    <t>NAMYSŁÓW</t>
  </si>
  <si>
    <t>OPOLE</t>
  </si>
  <si>
    <t>STARE OLESNO</t>
  </si>
  <si>
    <t>Stobrawa (132)</t>
  </si>
  <si>
    <t>BUKOWIEC</t>
  </si>
  <si>
    <t>Solinka (2212)</t>
  </si>
  <si>
    <t>San do Osławy (221)</t>
  </si>
  <si>
    <t>podkarpackie</t>
  </si>
  <si>
    <t>Wisła od Wisłoki do Sanu (219)</t>
  </si>
  <si>
    <t>CIESZANÓW</t>
  </si>
  <si>
    <t>Tanew (228)</t>
  </si>
  <si>
    <t>CISNA</t>
  </si>
  <si>
    <t>JASŁO</t>
  </si>
  <si>
    <t>Jasiołka (2184)</t>
  </si>
  <si>
    <t>KOMAŃCZA</t>
  </si>
  <si>
    <t>Osława (222)</t>
  </si>
  <si>
    <t>KREMPNA</t>
  </si>
  <si>
    <t>KROSNO</t>
  </si>
  <si>
    <t>Wisłok (226)</t>
  </si>
  <si>
    <t>LESKO</t>
  </si>
  <si>
    <t>San (22)</t>
  </si>
  <si>
    <t>NOWOTANIEC</t>
  </si>
  <si>
    <t>Pielnica (22618)</t>
  </si>
  <si>
    <t>PUŁAWY DOLNE</t>
  </si>
  <si>
    <t>RZESZÓW-JASIONKA</t>
  </si>
  <si>
    <t>SOLINA-JAWOR</t>
  </si>
  <si>
    <t>WISŁOCZEK</t>
  </si>
  <si>
    <t>WISŁOK WIELKI</t>
  </si>
  <si>
    <t>ZBOISKA</t>
  </si>
  <si>
    <t>ŻUBRACZE</t>
  </si>
  <si>
    <t>BIAŁOWIEŻA</t>
  </si>
  <si>
    <t>Narewka (2612)</t>
  </si>
  <si>
    <t>Narew do Biebrzy (261)</t>
  </si>
  <si>
    <t>podlaskie</t>
  </si>
  <si>
    <t>BIAŁYSTOK</t>
  </si>
  <si>
    <t>Biała (26168)</t>
  </si>
  <si>
    <t>Supraśl (2616)</t>
  </si>
  <si>
    <t>MARIANOWO II</t>
  </si>
  <si>
    <t>Narew (26)</t>
  </si>
  <si>
    <t>Narew od Biebrzy do Pisy (263)</t>
  </si>
  <si>
    <t>SUWAŁKI</t>
  </si>
  <si>
    <t>Czarna Hańcza (64)</t>
  </si>
  <si>
    <t>CHOJNICE</t>
  </si>
  <si>
    <t>Brda (292)</t>
  </si>
  <si>
    <t>pomorskie</t>
  </si>
  <si>
    <t>GDAŃSK-ŚWIBNO</t>
  </si>
  <si>
    <t>HEL</t>
  </si>
  <si>
    <t>Bałtyk (0)</t>
  </si>
  <si>
    <t>ŁEBA</t>
  </si>
  <si>
    <t>Łeba (476)</t>
  </si>
  <si>
    <t>NIEZABYSZEWO</t>
  </si>
  <si>
    <t>Słupia (472)</t>
  </si>
  <si>
    <t>USTKA</t>
  </si>
  <si>
    <t>BIELSKO-BIAŁA</t>
  </si>
  <si>
    <t>Biała (2114)</t>
  </si>
  <si>
    <t>śląskie</t>
  </si>
  <si>
    <t>BONOWICE</t>
  </si>
  <si>
    <t>BRENNA</t>
  </si>
  <si>
    <t>Brennica (21114)</t>
  </si>
  <si>
    <t>BRYNICA</t>
  </si>
  <si>
    <t>Brynica (2126)</t>
  </si>
  <si>
    <t>Przemsza (212)</t>
  </si>
  <si>
    <t>CIESZYN</t>
  </si>
  <si>
    <t>Olza (114)</t>
  </si>
  <si>
    <t>CZĘSTOCHOWA</t>
  </si>
  <si>
    <t>DRONIOWICE</t>
  </si>
  <si>
    <t>Liswarta (1816)</t>
  </si>
  <si>
    <t>ISTEBNA</t>
  </si>
  <si>
    <t>ISTEBNA-STECÓWKA</t>
  </si>
  <si>
    <t>KAMESZNICA</t>
  </si>
  <si>
    <t>Bystra (213232)</t>
  </si>
  <si>
    <t>Soła (2132)</t>
  </si>
  <si>
    <t>KATOWICE-MUCHOWIEC</t>
  </si>
  <si>
    <t>Rawa (21268)</t>
  </si>
  <si>
    <t>KORBIELÓW</t>
  </si>
  <si>
    <t>KOSZARAWA-ŻŁABNE</t>
  </si>
  <si>
    <t>KRUPSKI MŁYN</t>
  </si>
  <si>
    <t>Mała Panew (118)</t>
  </si>
  <si>
    <t>LGOTA GÓRNA</t>
  </si>
  <si>
    <t>RACIBÓRZ</t>
  </si>
  <si>
    <t>RADZIECHOWY</t>
  </si>
  <si>
    <t>RAJCZA</t>
  </si>
  <si>
    <t>RYCERKA GÓRNA</t>
  </si>
  <si>
    <t>SOBLÓWKA</t>
  </si>
  <si>
    <t>SZCZYRK</t>
  </si>
  <si>
    <t>WISŁA-JAWORNIK</t>
  </si>
  <si>
    <t>ŻABNICA</t>
  </si>
  <si>
    <t>Żabniczanka (213234)</t>
  </si>
  <si>
    <t>KIELCE-SUKÓW</t>
  </si>
  <si>
    <t>Czarna Nida (2164)</t>
  </si>
  <si>
    <t>świętokrzyskie</t>
  </si>
  <si>
    <t>NOSÓW</t>
  </si>
  <si>
    <t>Pokrzywianka (23484)</t>
  </si>
  <si>
    <t>Kamienna (234)</t>
  </si>
  <si>
    <t>PILCZYCA</t>
  </si>
  <si>
    <t>Czarna (Włoszczowska)</t>
  </si>
  <si>
    <t>SANDOMIERZ</t>
  </si>
  <si>
    <t>STASZÓW</t>
  </si>
  <si>
    <t>Czarna (2178)</t>
  </si>
  <si>
    <t>ŚWIĘTY KRZYŻ</t>
  </si>
  <si>
    <t>ELBLĄG-MILEJEWO</t>
  </si>
  <si>
    <t>Elbląg (54)</t>
  </si>
  <si>
    <t>warmińsko-mazurskie</t>
  </si>
  <si>
    <t>KĘTRZYN</t>
  </si>
  <si>
    <t>Guber (5848)</t>
  </si>
  <si>
    <t>LIDZBARK WARMIŃSKI</t>
  </si>
  <si>
    <t>Łyna (584)</t>
  </si>
  <si>
    <t>MIKOŁAJKI</t>
  </si>
  <si>
    <t>Pisa (264)</t>
  </si>
  <si>
    <t>OLSZTYN</t>
  </si>
  <si>
    <t>ŚWIĘTAJNO</t>
  </si>
  <si>
    <t>KALISZ</t>
  </si>
  <si>
    <t>wielkopolskie</t>
  </si>
  <si>
    <t>LESZNO</t>
  </si>
  <si>
    <t>Strzyżewicki Rów (14884</t>
  </si>
  <si>
    <t>Barycz (14)</t>
  </si>
  <si>
    <t>PIŁA</t>
  </si>
  <si>
    <t>Gwda (1886)</t>
  </si>
  <si>
    <t>Warta od Prosny do Wełny (185)</t>
  </si>
  <si>
    <t>KOŁOBRZEG-DŹWIRZYNO</t>
  </si>
  <si>
    <t>zachodniopomorskie</t>
  </si>
  <si>
    <t>KOSZALIN</t>
  </si>
  <si>
    <t>Dzierżęcinka (45614)</t>
  </si>
  <si>
    <t>SZCZECIN</t>
  </si>
  <si>
    <t>Grubość pokrywy śnieżnej i zapas wody w śniegu na stacjach
meteorologicznych IMGW-PIB w Polsce</t>
  </si>
  <si>
    <r>
      <rPr>
        <b/>
        <sz val="9"/>
        <rFont val="Arial"/>
        <family val="2"/>
      </rPr>
      <t>Nazwa stacji</t>
    </r>
  </si>
  <si>
    <r>
      <rPr>
        <sz val="9"/>
        <rFont val="Arial"/>
        <family val="2"/>
      </rPr>
      <t>Rzeka</t>
    </r>
  </si>
  <si>
    <r>
      <rPr>
        <sz val="9"/>
        <rFont val="Arial"/>
        <family val="2"/>
      </rPr>
      <t>Zlewnia</t>
    </r>
  </si>
  <si>
    <r>
      <rPr>
        <b/>
        <sz val="9"/>
        <rFont val="Arial"/>
        <family val="2"/>
      </rPr>
      <t>Województwo</t>
    </r>
  </si>
  <si>
    <r>
      <rPr>
        <b/>
        <sz val="9"/>
        <rFont val="Arial"/>
        <family val="2"/>
      </rPr>
      <t>Wysokość</t>
    </r>
    <r>
      <rPr>
        <b/>
        <sz val="9"/>
        <rFont val="Arial"/>
        <family val="2"/>
        <charset val="238"/>
      </rPr>
      <t xml:space="preserve"> [m n.p.m.]</t>
    </r>
  </si>
  <si>
    <r>
      <rPr>
        <sz val="9"/>
        <rFont val="Arial"/>
        <family val="2"/>
      </rPr>
      <t>TORUŃ</t>
    </r>
  </si>
  <si>
    <r>
      <rPr>
        <sz val="9"/>
        <rFont val="Arial"/>
        <family val="2"/>
      </rPr>
      <t>Wisła (2)</t>
    </r>
  </si>
  <si>
    <r>
      <rPr>
        <sz val="9"/>
        <rFont val="Arial"/>
        <family val="2"/>
      </rPr>
      <t>Wisła od Drwęcy do Brdy (291)</t>
    </r>
  </si>
  <si>
    <r>
      <rPr>
        <sz val="9"/>
        <rFont val="Arial"/>
        <family val="2"/>
      </rPr>
      <t>kujawsko-pomorskie</t>
    </r>
  </si>
  <si>
    <r>
      <rPr>
        <sz val="9"/>
        <rFont val="Arial"/>
        <family val="2"/>
      </rPr>
      <t>GORZÓW WIELKOPOLSKI</t>
    </r>
  </si>
  <si>
    <r>
      <rPr>
        <sz val="9"/>
        <rFont val="Arial"/>
        <family val="2"/>
      </rPr>
      <t>Warta (18)</t>
    </r>
  </si>
  <si>
    <r>
      <rPr>
        <sz val="9"/>
        <rFont val="Arial"/>
        <family val="2"/>
      </rPr>
      <t>Warta od Noteci do ujścia (189)</t>
    </r>
  </si>
  <si>
    <r>
      <rPr>
        <sz val="9"/>
        <rFont val="Arial"/>
        <family val="2"/>
      </rPr>
      <t>lubuskie</t>
    </r>
  </si>
  <si>
    <r>
      <rPr>
        <sz val="9"/>
        <rFont val="Arial"/>
        <family val="2"/>
      </rPr>
      <t>SŁUBICE</t>
    </r>
  </si>
  <si>
    <r>
      <rPr>
        <sz val="9"/>
        <rFont val="Arial"/>
        <family val="2"/>
      </rPr>
      <t>Odra (1)</t>
    </r>
  </si>
  <si>
    <r>
      <rPr>
        <sz val="9"/>
        <rFont val="Arial"/>
        <family val="2"/>
      </rPr>
      <t>ZIELONA GÓRA</t>
    </r>
  </si>
  <si>
    <r>
      <rPr>
        <sz val="9"/>
        <rFont val="Arial"/>
        <family val="2"/>
      </rPr>
      <t>Odra od Baryczy do Bobru (15)</t>
    </r>
  </si>
  <si>
    <r>
      <rPr>
        <sz val="9"/>
        <rFont val="Arial"/>
        <family val="2"/>
      </rPr>
      <t>JAROSTY</t>
    </r>
  </si>
  <si>
    <r>
      <rPr>
        <sz val="9"/>
        <rFont val="Arial"/>
        <family val="2"/>
      </rPr>
      <t>Luciąża (25452)</t>
    </r>
  </si>
  <si>
    <r>
      <rPr>
        <sz val="9"/>
        <rFont val="Arial"/>
        <family val="2"/>
      </rPr>
      <t>Pilica (254)</t>
    </r>
  </si>
  <si>
    <r>
      <rPr>
        <sz val="9"/>
        <rFont val="Arial"/>
        <family val="2"/>
      </rPr>
      <t>łódzkie</t>
    </r>
  </si>
  <si>
    <r>
      <rPr>
        <sz val="9"/>
        <rFont val="Arial"/>
        <family val="2"/>
      </rPr>
      <t>ŁÓDŹ</t>
    </r>
  </si>
  <si>
    <r>
      <rPr>
        <sz val="9"/>
        <rFont val="Arial"/>
        <family val="2"/>
      </rPr>
      <t>Bzura (272)</t>
    </r>
  </si>
  <si>
    <r>
      <rPr>
        <sz val="9"/>
        <rFont val="Arial"/>
        <family val="2"/>
      </rPr>
      <t>Ner (1832)</t>
    </r>
  </si>
  <si>
    <r>
      <rPr>
        <sz val="9"/>
        <rFont val="Arial"/>
        <family val="2"/>
      </rPr>
      <t>MIRKÓW</t>
    </r>
  </si>
  <si>
    <r>
      <rPr>
        <sz val="9"/>
        <rFont val="Arial"/>
        <family val="2"/>
      </rPr>
      <t>Prosna (184)</t>
    </r>
  </si>
  <si>
    <r>
      <rPr>
        <sz val="9"/>
        <rFont val="Arial"/>
        <family val="2"/>
      </rPr>
      <t>PLUCICE</t>
    </r>
  </si>
  <si>
    <r>
      <rPr>
        <sz val="9"/>
        <rFont val="Arial"/>
        <family val="2"/>
      </rPr>
      <t>SIERADZ-DZIGORZEW</t>
    </r>
  </si>
  <si>
    <r>
      <rPr>
        <sz val="9"/>
        <rFont val="Arial"/>
        <family val="2"/>
      </rPr>
      <t>Warta od Widawki do Prosny (183)</t>
    </r>
  </si>
  <si>
    <r>
      <rPr>
        <sz val="9"/>
        <rFont val="Arial"/>
        <family val="2"/>
      </rPr>
      <t>SILNICZKA</t>
    </r>
  </si>
  <si>
    <r>
      <rPr>
        <sz val="9"/>
        <rFont val="Arial"/>
        <family val="2"/>
      </rPr>
      <t>WIELUŃ</t>
    </r>
  </si>
  <si>
    <r>
      <rPr>
        <sz val="9"/>
        <rFont val="Arial"/>
        <family val="2"/>
      </rPr>
      <t>Warta do Widawki (181)</t>
    </r>
  </si>
  <si>
    <r>
      <rPr>
        <sz val="9"/>
        <rFont val="Arial"/>
        <family val="2"/>
      </rPr>
      <t>NAMYSŁÓW</t>
    </r>
  </si>
  <si>
    <r>
      <rPr>
        <sz val="9"/>
        <rFont val="Arial"/>
        <family val="2"/>
      </rPr>
      <t>Widawa (136)</t>
    </r>
  </si>
  <si>
    <r>
      <rPr>
        <sz val="9"/>
        <rFont val="Arial"/>
        <family val="2"/>
      </rPr>
      <t>opolskie</t>
    </r>
  </si>
  <si>
    <r>
      <rPr>
        <sz val="9"/>
        <rFont val="Arial"/>
        <family val="2"/>
      </rPr>
      <t>STARE OLESNO</t>
    </r>
  </si>
  <si>
    <r>
      <rPr>
        <sz val="9"/>
        <rFont val="Arial"/>
        <family val="2"/>
      </rPr>
      <t>Stobrawa (132)</t>
    </r>
  </si>
  <si>
    <r>
      <rPr>
        <sz val="9"/>
        <rFont val="Arial"/>
        <family val="2"/>
      </rPr>
      <t>BONOWICE</t>
    </r>
  </si>
  <si>
    <r>
      <rPr>
        <sz val="9"/>
        <rFont val="Arial"/>
        <family val="2"/>
      </rPr>
      <t>śląskie</t>
    </r>
  </si>
  <si>
    <r>
      <rPr>
        <sz val="9"/>
        <rFont val="Arial"/>
        <family val="2"/>
      </rPr>
      <t>CZĘSTOCHOWA</t>
    </r>
  </si>
  <si>
    <r>
      <rPr>
        <sz val="9"/>
        <rFont val="Arial"/>
        <family val="2"/>
      </rPr>
      <t>DRONIOWICE</t>
    </r>
  </si>
  <si>
    <r>
      <rPr>
        <sz val="9"/>
        <rFont val="Arial"/>
        <family val="2"/>
      </rPr>
      <t>Liswarta (1816)</t>
    </r>
  </si>
  <si>
    <r>
      <rPr>
        <sz val="9"/>
        <rFont val="Arial"/>
        <family val="2"/>
      </rPr>
      <t>LGOTA GÓRNA</t>
    </r>
  </si>
  <si>
    <r>
      <rPr>
        <sz val="9"/>
        <rFont val="Arial"/>
        <family val="2"/>
      </rPr>
      <t>KALISZ</t>
    </r>
  </si>
  <si>
    <r>
      <rPr>
        <sz val="9"/>
        <rFont val="Arial"/>
        <family val="2"/>
      </rPr>
      <t>wielkopolskie</t>
    </r>
  </si>
  <si>
    <r>
      <rPr>
        <sz val="9"/>
        <rFont val="Arial"/>
        <family val="2"/>
      </rPr>
      <t>KOŁO</t>
    </r>
  </si>
  <si>
    <r>
      <rPr>
        <sz val="9"/>
        <rFont val="Arial"/>
        <family val="2"/>
      </rPr>
      <t>LESZNO</t>
    </r>
  </si>
  <si>
    <r>
      <rPr>
        <sz val="9"/>
        <rFont val="Arial"/>
        <family val="2"/>
      </rPr>
      <t>Strzyżewicki Rów (14884</t>
    </r>
  </si>
  <si>
    <r>
      <rPr>
        <sz val="9"/>
        <rFont val="Arial"/>
        <family val="2"/>
      </rPr>
      <t>Barycz (14)</t>
    </r>
  </si>
  <si>
    <r>
      <rPr>
        <sz val="9"/>
        <rFont val="Arial"/>
        <family val="2"/>
      </rPr>
      <t>PIŁA</t>
    </r>
  </si>
  <si>
    <r>
      <rPr>
        <sz val="9"/>
        <rFont val="Arial"/>
        <family val="2"/>
      </rPr>
      <t>Gwda (1886)</t>
    </r>
  </si>
  <si>
    <r>
      <rPr>
        <sz val="9"/>
        <rFont val="Arial"/>
        <family val="2"/>
      </rPr>
      <t>POZNAŃ</t>
    </r>
  </si>
  <si>
    <r>
      <rPr>
        <sz val="9"/>
        <rFont val="Arial"/>
        <family val="2"/>
      </rPr>
      <t>Warta od Prosny do Wełny (185)</t>
    </r>
  </si>
  <si>
    <t>1,</t>
  </si>
  <si>
    <t>2,</t>
  </si>
  <si>
    <t>3,</t>
  </si>
  <si>
    <t>4,</t>
  </si>
  <si>
    <t>5,</t>
  </si>
  <si>
    <t>6,</t>
  </si>
  <si>
    <t>7,</t>
  </si>
  <si>
    <t>8,</t>
  </si>
  <si>
    <t>9,</t>
  </si>
  <si>
    <t>10,</t>
  </si>
  <si>
    <t>11,</t>
  </si>
  <si>
    <t>12,</t>
  </si>
  <si>
    <t>13,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</si>
  <si>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</si>
  <si>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</si>
  <si>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</si>
  <si>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</si>
  <si>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</si>
  <si>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</si>
  <si>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</si>
  <si>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</si>
  <si>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</si>
  <si>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</si>
  <si>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</si>
  <si>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</si>
  <si>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</si>
  <si>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</si>
  <si>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</si>
  <si>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</si>
  <si>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</si>
  <si>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</si>
  <si>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</si>
  <si>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</si>
  <si>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</si>
  <si>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</si>
  <si>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</si>
  <si>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</si>
  <si>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</si>
  <si>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</si>
  <si>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</si>
  <si>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</si>
  <si>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</si>
  <si>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</si>
  <si>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</si>
  <si>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</si>
  <si>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</si>
  <si>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</si>
  <si>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</si>
  <si>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</si>
  <si>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</si>
  <si>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</si>
  <si>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</si>
  <si>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</si>
  <si>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</si>
  <si>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</si>
  <si>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</si>
  <si>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</si>
  <si>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</si>
  <si>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</si>
  <si>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</si>
  <si>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</si>
  <si>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</si>
  <si>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</si>
  <si>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</si>
  <si>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</si>
  <si>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</si>
  <si>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</si>
  <si>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</si>
  <si>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</si>
  <si>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</si>
  <si>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</si>
  <si>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</si>
  <si>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33,0</t>
  </si>
  <si>
    <t>3,0</t>
  </si>
  <si>
    <t>1,0</t>
  </si>
  <si>
    <t>22,0</t>
  </si>
  <si>
    <t>9,0</t>
  </si>
  <si>
    <t>6,0</t>
  </si>
  <si>
    <t>10,0</t>
  </si>
  <si>
    <t>7,0</t>
  </si>
  <si>
    <t>4,0</t>
  </si>
  <si>
    <t>39,0</t>
  </si>
  <si>
    <t>11,0</t>
  </si>
  <si>
    <t>8,0</t>
  </si>
  <si>
    <t>16,0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</si>
  <si>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</si>
  <si>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</si>
  <si>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</si>
  <si>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</si>
  <si>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</si>
  <si>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</si>
  <si>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</si>
  <si>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</si>
  <si>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</si>
  <si>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</si>
  <si>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</si>
  <si>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</si>
  <si>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</si>
  <si>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</si>
  <si>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</si>
  <si>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</si>
  <si>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</si>
  <si>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</si>
  <si>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</si>
  <si>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</si>
  <si>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</si>
  <si>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</si>
  <si>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</si>
  <si>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</si>
  <si>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</si>
  <si>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</si>
  <si>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</si>
  <si>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</si>
  <si>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</si>
  <si>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</si>
  <si>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</si>
  <si>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</si>
  <si>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</si>
  <si>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</si>
  <si>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</si>
  <si>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</si>
  <si>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</si>
  <si>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</si>
  <si>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</si>
  <si>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</si>
  <si>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</si>
  <si>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</si>
  <si>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</si>
  <si>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</si>
  <si>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</si>
  <si>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</si>
  <si>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</si>
  <si>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</si>
  <si>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</si>
  <si>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</si>
  <si>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</si>
  <si>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</si>
  <si>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</si>
  <si>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</si>
  <si>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</si>
  <si>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</si>
  <si>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</si>
  <si>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</si>
  <si>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</si>
  <si>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</si>
  <si>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</si>
  <si>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</si>
  <si>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</si>
  <si>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</si>
  <si>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</si>
  <si>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</si>
  <si>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</si>
  <si>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</si>
  <si>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</si>
  <si>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</si>
  <si>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</si>
  <si>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</si>
  <si>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</si>
  <si>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</si>
  <si>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</si>
  <si>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</si>
  <si>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</si>
  <si>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</si>
  <si>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</si>
  <si>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</si>
  <si>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</si>
  <si>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154,</t>
  </si>
  <si>
    <t>155,</t>
  </si>
  <si>
    <t>156,</t>
  </si>
  <si>
    <t>157,</t>
  </si>
  <si>
    <t>13,0</t>
  </si>
  <si>
    <t>2,0</t>
  </si>
  <si>
    <t>5,0</t>
  </si>
  <si>
    <t>18,0</t>
  </si>
  <si>
    <t>12,0</t>
  </si>
  <si>
    <t>17,0</t>
  </si>
  <si>
    <t>15,0</t>
  </si>
  <si>
    <t>Lp.</t>
  </si>
  <si>
    <t>Zapas wody
w śniegu</t>
  </si>
  <si>
    <t>m n.p.m.</t>
  </si>
  <si>
    <t>295</t>
  </si>
  <si>
    <t>600</t>
  </si>
  <si>
    <t>510</t>
  </si>
  <si>
    <t>325</t>
  </si>
  <si>
    <t>860</t>
  </si>
  <si>
    <t>135</t>
  </si>
  <si>
    <t>680</t>
  </si>
  <si>
    <t>360</t>
  </si>
  <si>
    <t>575</t>
  </si>
  <si>
    <t>460</t>
  </si>
  <si>
    <t>122</t>
  </si>
  <si>
    <t>355</t>
  </si>
  <si>
    <t>14,0</t>
  </si>
  <si>
    <t>710</t>
  </si>
  <si>
    <t>450</t>
  </si>
  <si>
    <t>535</t>
  </si>
  <si>
    <t>PSZENNO</t>
  </si>
  <si>
    <t>225</t>
  </si>
  <si>
    <t>555</t>
  </si>
  <si>
    <t>19,0</t>
  </si>
  <si>
    <t>500</t>
  </si>
  <si>
    <t>20,0</t>
  </si>
  <si>
    <t>645</t>
  </si>
  <si>
    <t>21,0</t>
  </si>
  <si>
    <t>382</t>
  </si>
  <si>
    <t>23,0</t>
  </si>
  <si>
    <t>24,0</t>
  </si>
  <si>
    <t>WROCŁAW</t>
  </si>
  <si>
    <t>Odra od Nysy Kłodzkiej do</t>
  </si>
  <si>
    <t>25,0</t>
  </si>
  <si>
    <t>26,0</t>
  </si>
  <si>
    <t>27,0</t>
  </si>
  <si>
    <t>28,0</t>
  </si>
  <si>
    <t>29,0</t>
  </si>
  <si>
    <t>31</t>
  </si>
  <si>
    <t>30,0</t>
  </si>
  <si>
    <t>Bug od Huczwy do Krzny (2663)</t>
  </si>
  <si>
    <t>31,0</t>
  </si>
  <si>
    <t>32,0</t>
  </si>
  <si>
    <t>19</t>
  </si>
  <si>
    <t>15</t>
  </si>
  <si>
    <t>34,0</t>
  </si>
  <si>
    <t>29</t>
  </si>
  <si>
    <t>35,0</t>
  </si>
  <si>
    <t>36,0</t>
  </si>
  <si>
    <t>37,0</t>
  </si>
  <si>
    <t>38,0</t>
  </si>
  <si>
    <t>ŁÓDŹ</t>
  </si>
  <si>
    <t>Bzura (272)</t>
  </si>
  <si>
    <t>40,0</t>
  </si>
  <si>
    <t>155</t>
  </si>
  <si>
    <t>41,0</t>
  </si>
  <si>
    <t>42,0</t>
  </si>
  <si>
    <t>Warta od Widawki do Prosny</t>
  </si>
  <si>
    <t>43,0</t>
  </si>
  <si>
    <t>44,0</t>
  </si>
  <si>
    <t>45,0</t>
  </si>
  <si>
    <t>46,0</t>
  </si>
  <si>
    <t>47,0</t>
  </si>
  <si>
    <t>48,0</t>
  </si>
  <si>
    <t>1674</t>
  </si>
  <si>
    <t>49,0</t>
  </si>
  <si>
    <t>4</t>
  </si>
  <si>
    <t>1523</t>
  </si>
  <si>
    <t>50,0</t>
  </si>
  <si>
    <t>1991</t>
  </si>
  <si>
    <t>Wisła od Przemszy do Dunajca</t>
  </si>
  <si>
    <t>23</t>
  </si>
  <si>
    <t>Dunajec od Popradu do ujścia</t>
  </si>
  <si>
    <t>24</t>
  </si>
  <si>
    <t>286</t>
  </si>
  <si>
    <t>1400</t>
  </si>
  <si>
    <t>25</t>
  </si>
  <si>
    <t>OCHOTNICA GÓRNA</t>
  </si>
  <si>
    <t>617</t>
  </si>
  <si>
    <t>28</t>
  </si>
  <si>
    <t>POLANA</t>
  </si>
  <si>
    <t>1145</t>
  </si>
  <si>
    <t>37</t>
  </si>
  <si>
    <t>39</t>
  </si>
  <si>
    <t>209</t>
  </si>
  <si>
    <t>16</t>
  </si>
  <si>
    <t>Zlewnia zb. Włocławek (275)</t>
  </si>
  <si>
    <t>WARSZAWA</t>
  </si>
  <si>
    <t>Biała Głuchołaska (1258</t>
  </si>
  <si>
    <t>Odra od Kłodnicy do Małej</t>
  </si>
  <si>
    <t>OTMUCHÓW</t>
  </si>
  <si>
    <t>DWERNIK</t>
  </si>
  <si>
    <t>0,0</t>
  </si>
  <si>
    <t>Wisła od Wierzycy do ujścia</t>
  </si>
  <si>
    <t>Przymorze od Wieprzy do</t>
  </si>
  <si>
    <t>Wisła do Przemszy (Mała Wisła)</t>
  </si>
  <si>
    <t>Zalew Wiślany od Elbląga do</t>
  </si>
  <si>
    <t>Jez. Mikołajskie (26439)</t>
  </si>
  <si>
    <t>Narew od Pisy do zb. Dębe</t>
  </si>
  <si>
    <t>KOŁO</t>
  </si>
  <si>
    <t>POZNAŃ</t>
  </si>
  <si>
    <t>Jez. Resko Przymorskie</t>
  </si>
  <si>
    <t>Przymorze od Regi do Parsęty</t>
  </si>
  <si>
    <t>Przymorze od Parsęty do</t>
  </si>
  <si>
    <t>Odra od Odry Zachodniej do Iny</t>
  </si>
  <si>
    <t>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</si>
</sst>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;@"/>
    <numFmt numFmtId="165" formatCode="0."/>
    <numFmt numFmtId="166" formatCode="0.0"/>
  </numFmts>
  <fonts count="12" x14ac:knownFonts="1">
    <font>
      <sz val="11"/>
      <color theme="1"/>
      <name val="Calibri"/>
      <family val="2"/>
      <charset val="238"/>
      <scheme val="minor"/>
    </font>
    <font>
      <b/>
      <sz val="9"/>
      <name val="Arial"/>
      <family val="2"/>
      <charset val="238"/>
    </font>
    <font>
      <b/>
      <sz val="9"/>
      <name val="Arial"/>
      <family val="2"/>
    </font>
    <font>
      <b/>
      <sz val="9"/>
      <color rgb="FF000000"/>
      <name val="Times New Roman"/>
      <family val="2"/>
      <charset val="238"/>
    </font>
    <font>
      <b/>
      <sz val="9"/>
      <color rgb="FF000000"/>
      <name val="Times New Roman"/>
      <family val="1"/>
      <charset val="238"/>
    </font>
    <font>
      <b/>
      <sz val="8"/>
      <name val="Arial"/>
      <family val="2"/>
    </font>
    <font>
      <b/>
      <sz val="14.5"/>
      <color rgb="FF000000"/>
      <name val="Arial"/>
      <family val="2"/>
    </font>
    <font>
      <sz val="9"/>
      <name val="Arial"/>
      <family val="2"/>
      <charset val="238"/>
    </font>
    <font>
      <sz val="9"/>
      <name val="Arial"/>
      <family val="2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b/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 indent="3"/>
    </xf>
    <xf numFmtId="0" fontId="7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 vertical="center" wrapText="1" indent="2"/>
    </xf>
    <xf numFmtId="0" fontId="2" fillId="2" borderId="1" xfId="0" applyFont="1" applyFill="1" applyBorder="1" applyAlignment="1">
      <alignment horizontal="center" vertical="center" wrapText="1"/>
    </xf>
    <xf numFmtId="165" fontId="9" fillId="2" borderId="1" xfId="0" applyNumberFormat="1" applyFont="1" applyFill="1" applyBorder="1" applyAlignment="1">
      <alignment horizontal="right" vertical="top" shrinkToFit="1"/>
    </xf>
    <xf numFmtId="0" fontId="7" fillId="2" borderId="1" xfId="0" applyFont="1" applyFill="1" applyBorder="1" applyAlignment="1">
      <alignment horizontal="left" vertical="top" wrapText="1"/>
    </xf>
    <xf numFmtId="1" fontId="10" fillId="2" borderId="1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left" vertical="top"/>
    </xf>
    <xf numFmtId="166" fontId="0" fillId="0" borderId="0" xfId="0" applyNumberFormat="1"/>
    <xf numFmtId="0" fontId="5" fillId="2" borderId="2" xfId="0" applyFont="1" applyFill="1" applyBorder="1" applyAlignment="1">
      <alignment horizontal="left" vertical="top" wrapText="1"/>
    </xf>
    <xf numFmtId="0" fontId="0" fillId="2" borderId="2" xfId="0" applyFill="1" applyBorder="1" applyAlignment="1">
      <alignment horizontal="left" vertical="top" wrapText="1"/>
    </xf>
    <xf numFmtId="164" fontId="6" fillId="2" borderId="2" xfId="0" applyNumberFormat="1" applyFont="1" applyFill="1" applyBorder="1" applyAlignment="1">
      <alignment horizontal="left" vertical="center" shrinkToFit="1"/>
    </xf>
  </cellXfs>
  <cellStyles count="1">
    <cellStyle name="Normalny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57150</xdr:colOff>
          <xdr:row>7</xdr:row>
          <xdr:rowOff>95250</xdr:rowOff>
        </xdr:from>
        <xdr:to>
          <xdr:col>13</xdr:col>
          <xdr:colOff>457200</xdr:colOff>
          <xdr:row>11</xdr:row>
          <xdr:rowOff>142875</xdr:rowOff>
        </xdr:to>
        <xdr:sp macro="" textlink="">
          <xdr:nvSpPr>
            <xdr:cNvPr id="1025" name="Button 1" descr="Pobieranie najnowszych danyc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57150</xdr:colOff>
          <xdr:row>13</xdr:row>
          <xdr:rowOff>85725</xdr:rowOff>
        </xdr:from>
        <xdr:to>
          <xdr:col>13</xdr:col>
          <xdr:colOff>457200</xdr:colOff>
          <xdr:row>17</xdr:row>
          <xdr:rowOff>133350</xdr:rowOff>
        </xdr:to>
        <xdr:sp macro="" textlink="">
          <xdr:nvSpPr>
            <xdr:cNvPr id="1026" name="Button 2" descr="Pobieranie najnowszych danych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Kropki na przecinki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D4F1A97-54E4-4531-A555-72A59D09C7B4}" autoFormatId="16" applyNumberFormats="0" applyBorderFormats="0" applyFontFormats="0" applyPatternFormats="0" applyAlignmentFormats="0" applyWidthHeightFormats="0">
  <queryTableRefresh nextId="11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FDAB188-BFC1-4CFB-B88B-ACEDFEB1C220}" autoFormatId="16" applyNumberFormats="0" applyBorderFormats="0" applyFontFormats="0" applyPatternFormats="0" applyAlignmentFormats="0" applyWidthHeightFormats="0">
  <queryTableRefresh nextId="11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540CBE-BC2B-41E0-B614-1FCF19484A14}" name="Table001__Page_1" displayName="Table001__Page_1" ref="A1:J72" tableType="queryTable" totalsRowShown="0">
  <autoFilter ref="A1:J72" xr:uid="{74540CBE-BC2B-41E0-B614-1FCF19484A14}"/>
  <tableColumns count="10">
    <tableColumn id="1" xr3:uid="{C62D7843-B499-40D9-A4B5-4D2176190D80}" uniqueName="1" name="Column1" queryTableFieldId="1" dataDxfId="16"/>
    <tableColumn id="2" xr3:uid="{C4DA7C4E-8021-40DA-BA06-648F5F71B3C8}" uniqueName="2" name="Column2" queryTableFieldId="2" dataDxfId="15"/>
    <tableColumn id="3" xr3:uid="{6C3F0502-308D-4AF9-8B7A-79BFA2E526FB}" uniqueName="3" name="Column3" queryTableFieldId="3" dataDxfId="14"/>
    <tableColumn id="4" xr3:uid="{063F45DC-4960-4EF3-9632-6E8D217C3353}" uniqueName="4" name="Column4" queryTableFieldId="4" dataDxfId="13"/>
    <tableColumn id="5" xr3:uid="{338DE0BE-AD8E-44FD-9249-5FE0E2A62433}" uniqueName="5" name="Column5" queryTableFieldId="5" dataDxfId="12"/>
    <tableColumn id="6" xr3:uid="{E1708869-4C7C-4E06-AA43-0D52244180BC}" uniqueName="6" name="Column6" queryTableFieldId="6" dataDxfId="11"/>
    <tableColumn id="7" xr3:uid="{41C45B9E-3F5F-4CAC-BD78-C83614492068}" uniqueName="7" name="Column7" queryTableFieldId="7" dataDxfId="10"/>
    <tableColumn id="8" xr3:uid="{502B260D-AC82-482F-973B-13B127A3A10C}" uniqueName="8" name="Column8" queryTableFieldId="8" dataDxfId="9"/>
    <tableColumn id="9" xr3:uid="{FC0B0B3B-14C4-4BDB-A3E9-941B7BE68657}" uniqueName="9" name="Column9" queryTableFieldId="9" dataDxfId="8"/>
    <tableColumn id="10" xr3:uid="{CB8516C7-5447-4A10-A110-197301507F2D}" uniqueName="10" name="Column10" queryTableFieldId="10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2AA62D-2B96-4D34-9F33-39A6CBBF16BA}" name="Table002__Page_2" displayName="Table002__Page_2" ref="A1:J90" tableType="queryTable" totalsRowShown="0">
  <autoFilter ref="A1:J90" xr:uid="{D32AA62D-2B96-4D34-9F33-39A6CBBF16BA}"/>
  <tableColumns count="10">
    <tableColumn id="1" xr3:uid="{BBDFD3F1-A744-4276-9052-C801B46069D2}" uniqueName="1" name="Column1" queryTableFieldId="1" dataDxfId="6"/>
    <tableColumn id="2" xr3:uid="{478EB154-3395-43F7-AE64-3A8E857B1C6B}" uniqueName="2" name="Column2" queryTableFieldId="2" dataDxfId="5"/>
    <tableColumn id="3" xr3:uid="{42F8FF15-2CDC-4462-806D-6BDE3E948D58}" uniqueName="3" name="Column3" queryTableFieldId="3" dataDxfId="4"/>
    <tableColumn id="4" xr3:uid="{831BEDA0-607F-4416-8CC9-44A7241E6A2A}" uniqueName="4" name="Column4" queryTableFieldId="4" dataDxfId="3"/>
    <tableColumn id="5" xr3:uid="{A00655F3-357C-4ABE-A29A-96DAB26FD395}" uniqueName="5" name="Column5" queryTableFieldId="5" dataDxfId="2"/>
    <tableColumn id="6" xr3:uid="{76363340-EB57-4806-A3FF-4D3759295856}" uniqueName="6" name="Column6" queryTableFieldId="6"/>
    <tableColumn id="7" xr3:uid="{F78E7A91-F043-47FF-AFF9-E17B43E6422F}" uniqueName="7" name="Column7" queryTableFieldId="7" dataDxfId="1"/>
    <tableColumn id="8" xr3:uid="{9358BBC0-B5CC-45BF-B30D-5C11A7389AF9}" uniqueName="8" name="Column8" queryTableFieldId="8" dataDxfId="0"/>
    <tableColumn id="9" xr3:uid="{05DF705A-537F-49C9-B962-0782788B05A8}" uniqueName="9" name="Column9" queryTableFieldId="9"/>
    <tableColumn id="10" xr3:uid="{4F569196-A498-4A8A-9032-A5E5F6A28DDA}" uniqueName="10" name="Column10" queryTableField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DC143-5A0E-4E7A-96A0-659842B36691}">
  <sheetPr codeName="Arkusz1"/>
  <dimension ref="A1:F23"/>
  <sheetViews>
    <sheetView tabSelected="1" workbookViewId="0">
      <selection activeCell="D2" sqref="D2"/>
    </sheetView>
  </sheetViews>
  <sheetFormatPr defaultRowHeight="15" x14ac:dyDescent="0.25"/>
  <sheetData>
    <row r="1" spans="1:6" ht="36" x14ac:dyDescent="0.25">
      <c r="A1" s="1" t="s">
        <v>682</v>
      </c>
      <c r="B1" s="2" t="s">
        <v>1</v>
      </c>
    </row>
    <row r="2" spans="1:6" x14ac:dyDescent="0.25">
      <c r="A2">
        <v>1</v>
      </c>
      <c r="B2">
        <f>IF(LEFT('Table001 (Page 1)'!G31,4)="",0,LEFT('Table001 (Page 1)'!G31,4)+0)</f>
        <v>27</v>
      </c>
    </row>
    <row r="3" spans="1:6" x14ac:dyDescent="0.25">
      <c r="A3">
        <v>2</v>
      </c>
      <c r="B3">
        <f>IF(LEFT('Table001 (Page 1)'!G39,4)="",0,LEFT('Table001 (Page 1)'!G39,4)+0)</f>
        <v>35</v>
      </c>
    </row>
    <row r="4" spans="1:6" x14ac:dyDescent="0.25">
      <c r="A4">
        <v>3</v>
      </c>
      <c r="B4">
        <f>IF(LEFT('Table001 (Page 1)'!G41,4)="",0,LEFT('Table001 (Page 1)'!G41,4)+0)</f>
        <v>37</v>
      </c>
    </row>
    <row r="5" spans="1:6" x14ac:dyDescent="0.25">
      <c r="A5">
        <v>4</v>
      </c>
      <c r="B5">
        <f>IF(LEFT('Table001 (Page 1)'!G42,4)="",0,LEFT('Table001 (Page 1)'!G42,4)+0)</f>
        <v>38</v>
      </c>
    </row>
    <row r="6" spans="1:6" x14ac:dyDescent="0.25">
      <c r="A6">
        <v>5</v>
      </c>
      <c r="B6">
        <f>IF(LEFT('Table001 (Page 1)'!G44,4)="",0,LEFT('Table001 (Page 1)'!G44,4)+0)</f>
        <v>40</v>
      </c>
    </row>
    <row r="7" spans="1:6" x14ac:dyDescent="0.25">
      <c r="A7">
        <v>6</v>
      </c>
      <c r="B7">
        <f>IF(LEFT('Table001 (Page 1)'!G45,4)="",0,LEFT('Table001 (Page 1)'!G45,4)+0)</f>
        <v>41</v>
      </c>
    </row>
    <row r="8" spans="1:6" x14ac:dyDescent="0.25">
      <c r="A8">
        <v>7</v>
      </c>
      <c r="B8">
        <f>IF(LEFT('Table001 (Page 1)'!G46,4)="",0,LEFT('Table001 (Page 1)'!G46,4)+0)</f>
        <v>42</v>
      </c>
    </row>
    <row r="9" spans="1:6" x14ac:dyDescent="0.25">
      <c r="A9">
        <v>8</v>
      </c>
      <c r="B9">
        <f>IF(LEFT('Table001 (Page 1)'!G47,4)="",0,LEFT('Table001 (Page 1)'!G47,4)+0)</f>
        <v>43</v>
      </c>
    </row>
    <row r="10" spans="1:6" x14ac:dyDescent="0.25">
      <c r="A10">
        <v>9</v>
      </c>
      <c r="B10">
        <f>IF(LEFT('Table001 (Page 1)'!G48,4)="",0,LEFT('Table001 (Page 1)'!G48,4)+0)</f>
        <v>44</v>
      </c>
      <c r="F10" s="11"/>
    </row>
    <row r="11" spans="1:6" x14ac:dyDescent="0.25">
      <c r="A11">
        <v>10</v>
      </c>
      <c r="B11">
        <f>IF(LEFT('Table001 (Page 1)'!G49,4)="",0,LEFT('Table001 (Page 1)'!G49,4)+0)</f>
        <v>45</v>
      </c>
    </row>
    <row r="12" spans="1:6" x14ac:dyDescent="0.25">
      <c r="A12">
        <v>11</v>
      </c>
      <c r="B12">
        <f>IF(LEFT('Table001 (Page 1)'!G51,4)="",0,LEFT('Table001 (Page 1)'!G51,4)+0)</f>
        <v>47</v>
      </c>
    </row>
    <row r="13" spans="1:6" x14ac:dyDescent="0.25">
      <c r="A13">
        <v>12</v>
      </c>
      <c r="B13">
        <f>IF(LEFT('Table002 (Page 2)'!G15,4)="",0,LEFT('Table002 (Page 2)'!G15,4)+0)</f>
        <v>19</v>
      </c>
    </row>
    <row r="14" spans="1:6" x14ac:dyDescent="0.25">
      <c r="A14">
        <v>13</v>
      </c>
      <c r="B14">
        <f>IF(LEFT('Table002 (Page 2)'!G17,4)="",0,LEFT('Table002 (Page 2)'!G17,4)+0)</f>
        <v>17</v>
      </c>
    </row>
    <row r="15" spans="1:6" x14ac:dyDescent="0.25">
      <c r="A15">
        <v>14</v>
      </c>
      <c r="B15">
        <f>IF(LEFT('Table002 (Page 2)'!G47,4)="",0,LEFT('Table002 (Page 2)'!G47,4)+0)</f>
        <v>13</v>
      </c>
    </row>
    <row r="16" spans="1:6" x14ac:dyDescent="0.25">
      <c r="A16">
        <v>15</v>
      </c>
      <c r="B16">
        <f>IF(LEFT('Table002 (Page 2)'!G51,4)="",0,LEFT('Table002 (Page 2)'!G51,4)+0)</f>
        <v>17</v>
      </c>
    </row>
    <row r="17" spans="1:2" x14ac:dyDescent="0.25">
      <c r="A17">
        <v>16</v>
      </c>
      <c r="B17">
        <f>IF(LEFT('Table002 (Page 2)'!G52,4)="",0,LEFT('Table002 (Page 2)'!G52,4)+0)</f>
        <v>18</v>
      </c>
    </row>
    <row r="18" spans="1:2" x14ac:dyDescent="0.25">
      <c r="A18">
        <v>17</v>
      </c>
      <c r="B18">
        <f>IF(LEFT('Table002 (Page 2)'!G60,4)="",0,LEFT('Table002 (Page 2)'!G60,4)+0)</f>
        <v>26</v>
      </c>
    </row>
    <row r="19" spans="1:2" x14ac:dyDescent="0.25">
      <c r="A19">
        <v>18</v>
      </c>
      <c r="B19">
        <f>IF(LEFT('Table002 (Page 2)'!G82,4)="",0,LEFT('Table002 (Page 2)'!G82,4)+0)</f>
        <v>48</v>
      </c>
    </row>
    <row r="20" spans="1:2" x14ac:dyDescent="0.25">
      <c r="A20">
        <v>19</v>
      </c>
      <c r="B20">
        <f>IF(LEFT('Table002 (Page 2)'!G83,4)="",0,LEFT('Table002 (Page 2)'!G83,4)+0)</f>
        <v>49</v>
      </c>
    </row>
    <row r="21" spans="1:2" x14ac:dyDescent="0.25">
      <c r="A21">
        <v>20</v>
      </c>
      <c r="B21">
        <f>IF(LEFT('Table002 (Page 2)'!G84,4)="",0,LEFT('Table002 (Page 2)'!G84,4)+0)</f>
        <v>50</v>
      </c>
    </row>
    <row r="22" spans="1:2" x14ac:dyDescent="0.25">
      <c r="A22">
        <v>21</v>
      </c>
      <c r="B22">
        <f>IF(LEFT('Table002 (Page 2)'!G85,4)="",0,LEFT('Table002 (Page 2)'!G85,4)+0)</f>
        <v>49</v>
      </c>
    </row>
    <row r="23" spans="1:2" x14ac:dyDescent="0.25">
      <c r="A23">
        <v>22</v>
      </c>
      <c r="B23">
        <f>IF(LEFT('Table002 (Page 2)'!G86,4)="",0,LEFT('Table002 (Page 2)'!G86,4)+0)</f>
        <v>48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 altText="Pobieranie najnowszych danych">
                <anchor>
                  <from>
                    <xdr:col>12</xdr:col>
                    <xdr:colOff>57150</xdr:colOff>
                    <xdr:row>7</xdr:row>
                    <xdr:rowOff>95250</xdr:rowOff>
                  </from>
                  <to>
                    <xdr:col>13</xdr:col>
                    <xdr:colOff>457200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zecinki_kropki" altText="Pobieranie najnowszych danych">
                <anchor>
                  <from>
                    <xdr:col>12</xdr:col>
                    <xdr:colOff>57150</xdr:colOff>
                    <xdr:row>13</xdr:row>
                    <xdr:rowOff>85725</xdr:rowOff>
                  </from>
                  <to>
                    <xdr:col>13</xdr:col>
                    <xdr:colOff>457200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8E9B9-7118-48A6-A2BF-6DA22BB3879C}">
  <sheetPr codeName="Arkusz2"/>
  <dimension ref="A1:F24"/>
  <sheetViews>
    <sheetView topLeftCell="A10" workbookViewId="0">
      <selection activeCell="E2" sqref="E2"/>
    </sheetView>
  </sheetViews>
  <sheetFormatPr defaultRowHeight="15" x14ac:dyDescent="0.25"/>
  <cols>
    <col min="1" max="1" width="9.140625" style="10"/>
    <col min="2" max="2" width="15.42578125" style="10" bestFit="1" customWidth="1"/>
    <col min="3" max="4" width="9.140625" style="10"/>
    <col min="5" max="5" width="15.28515625" style="10" bestFit="1" customWidth="1"/>
    <col min="6" max="6" width="9.5703125" style="10" bestFit="1" customWidth="1"/>
  </cols>
  <sheetData>
    <row r="1" spans="1:6" ht="36" customHeight="1" x14ac:dyDescent="0.25">
      <c r="A1" s="12" t="s">
        <v>347</v>
      </c>
      <c r="B1" s="13"/>
      <c r="C1" s="13"/>
      <c r="D1" s="13"/>
      <c r="E1" s="14"/>
      <c r="F1" s="14"/>
    </row>
    <row r="2" spans="1:6" ht="24" x14ac:dyDescent="0.25">
      <c r="A2" s="1" t="s">
        <v>0</v>
      </c>
      <c r="B2" s="3" t="s">
        <v>348</v>
      </c>
      <c r="C2" s="4" t="s">
        <v>349</v>
      </c>
      <c r="D2" s="4" t="s">
        <v>350</v>
      </c>
      <c r="E2" s="5" t="s">
        <v>351</v>
      </c>
      <c r="F2" s="6" t="s">
        <v>352</v>
      </c>
    </row>
    <row r="3" spans="1:6" ht="36" x14ac:dyDescent="0.25">
      <c r="A3" s="7">
        <v>1</v>
      </c>
      <c r="B3" s="8" t="s">
        <v>353</v>
      </c>
      <c r="C3" s="8" t="s">
        <v>354</v>
      </c>
      <c r="D3" s="8" t="s">
        <v>355</v>
      </c>
      <c r="E3" s="8" t="s">
        <v>356</v>
      </c>
      <c r="F3" s="9">
        <v>69</v>
      </c>
    </row>
    <row r="4" spans="1:6" ht="48" x14ac:dyDescent="0.25">
      <c r="A4" s="7">
        <v>2</v>
      </c>
      <c r="B4" s="8" t="s">
        <v>357</v>
      </c>
      <c r="C4" s="8" t="s">
        <v>358</v>
      </c>
      <c r="D4" s="8" t="s">
        <v>359</v>
      </c>
      <c r="E4" s="8" t="s">
        <v>360</v>
      </c>
      <c r="F4" s="9">
        <v>71</v>
      </c>
    </row>
    <row r="5" spans="1:6" ht="48" x14ac:dyDescent="0.25">
      <c r="A5" s="7">
        <v>3</v>
      </c>
      <c r="B5" s="8" t="s">
        <v>361</v>
      </c>
      <c r="C5" s="8" t="s">
        <v>362</v>
      </c>
      <c r="D5" s="8" t="s">
        <v>359</v>
      </c>
      <c r="E5" s="8" t="s">
        <v>360</v>
      </c>
      <c r="F5" s="9">
        <v>53</v>
      </c>
    </row>
    <row r="6" spans="1:6" ht="48" x14ac:dyDescent="0.25">
      <c r="A6" s="7">
        <v>4</v>
      </c>
      <c r="B6" s="8" t="s">
        <v>363</v>
      </c>
      <c r="C6" s="8" t="s">
        <v>362</v>
      </c>
      <c r="D6" s="8" t="s">
        <v>364</v>
      </c>
      <c r="E6" s="8" t="s">
        <v>360</v>
      </c>
      <c r="F6" s="9">
        <v>192</v>
      </c>
    </row>
    <row r="7" spans="1:6" ht="24" x14ac:dyDescent="0.25">
      <c r="A7" s="7">
        <v>5</v>
      </c>
      <c r="B7" s="8" t="s">
        <v>365</v>
      </c>
      <c r="C7" s="8" t="s">
        <v>366</v>
      </c>
      <c r="D7" s="8" t="s">
        <v>367</v>
      </c>
      <c r="E7" s="8" t="s">
        <v>368</v>
      </c>
      <c r="F7" s="9">
        <v>197</v>
      </c>
    </row>
    <row r="8" spans="1:6" ht="24" x14ac:dyDescent="0.25">
      <c r="A8" s="7">
        <v>6</v>
      </c>
      <c r="B8" s="8" t="s">
        <v>369</v>
      </c>
      <c r="C8" s="8" t="s">
        <v>370</v>
      </c>
      <c r="D8" s="8" t="s">
        <v>371</v>
      </c>
      <c r="E8" s="8" t="s">
        <v>368</v>
      </c>
      <c r="F8" s="9">
        <v>180</v>
      </c>
    </row>
    <row r="9" spans="1:6" ht="24" x14ac:dyDescent="0.25">
      <c r="A9" s="7">
        <v>7</v>
      </c>
      <c r="B9" s="8" t="s">
        <v>372</v>
      </c>
      <c r="C9" s="8" t="s">
        <v>373</v>
      </c>
      <c r="D9" s="8" t="s">
        <v>373</v>
      </c>
      <c r="E9" s="8" t="s">
        <v>368</v>
      </c>
      <c r="F9" s="9">
        <v>155</v>
      </c>
    </row>
    <row r="10" spans="1:6" ht="24" x14ac:dyDescent="0.25">
      <c r="A10" s="7">
        <v>8</v>
      </c>
      <c r="B10" s="8" t="s">
        <v>374</v>
      </c>
      <c r="C10" s="8" t="s">
        <v>366</v>
      </c>
      <c r="D10" s="8" t="s">
        <v>367</v>
      </c>
      <c r="E10" s="8" t="s">
        <v>368</v>
      </c>
      <c r="F10" s="9">
        <v>204</v>
      </c>
    </row>
    <row r="11" spans="1:6" ht="48" x14ac:dyDescent="0.25">
      <c r="A11" s="7">
        <v>9</v>
      </c>
      <c r="B11" s="8" t="s">
        <v>375</v>
      </c>
      <c r="C11" s="8" t="s">
        <v>358</v>
      </c>
      <c r="D11" s="8" t="s">
        <v>376</v>
      </c>
      <c r="E11" s="8" t="s">
        <v>368</v>
      </c>
      <c r="F11" s="9">
        <v>128</v>
      </c>
    </row>
    <row r="12" spans="1:6" ht="24" x14ac:dyDescent="0.25">
      <c r="A12" s="7">
        <v>10</v>
      </c>
      <c r="B12" s="8" t="s">
        <v>377</v>
      </c>
      <c r="C12" s="8" t="s">
        <v>367</v>
      </c>
      <c r="D12" s="8" t="s">
        <v>367</v>
      </c>
      <c r="E12" s="8" t="s">
        <v>368</v>
      </c>
      <c r="F12" s="9">
        <v>215</v>
      </c>
    </row>
    <row r="13" spans="1:6" ht="36" x14ac:dyDescent="0.25">
      <c r="A13" s="7">
        <v>11</v>
      </c>
      <c r="B13" s="8" t="s">
        <v>378</v>
      </c>
      <c r="C13" s="8" t="s">
        <v>358</v>
      </c>
      <c r="D13" s="8" t="s">
        <v>379</v>
      </c>
      <c r="E13" s="8" t="s">
        <v>368</v>
      </c>
      <c r="F13" s="9">
        <v>199</v>
      </c>
    </row>
    <row r="14" spans="1:6" ht="24" x14ac:dyDescent="0.25">
      <c r="A14" s="7">
        <v>12</v>
      </c>
      <c r="B14" s="8" t="s">
        <v>380</v>
      </c>
      <c r="C14" s="8" t="s">
        <v>381</v>
      </c>
      <c r="D14" s="8" t="s">
        <v>381</v>
      </c>
      <c r="E14" s="8" t="s">
        <v>382</v>
      </c>
      <c r="F14" s="9">
        <v>155</v>
      </c>
    </row>
    <row r="15" spans="1:6" ht="24" x14ac:dyDescent="0.25">
      <c r="A15" s="7">
        <v>13</v>
      </c>
      <c r="B15" s="8" t="s">
        <v>383</v>
      </c>
      <c r="C15" s="8" t="s">
        <v>384</v>
      </c>
      <c r="D15" s="8" t="s">
        <v>384</v>
      </c>
      <c r="E15" s="8" t="s">
        <v>382</v>
      </c>
      <c r="F15" s="9">
        <v>230</v>
      </c>
    </row>
    <row r="16" spans="1:6" ht="24" x14ac:dyDescent="0.25">
      <c r="A16" s="7">
        <v>14</v>
      </c>
      <c r="B16" s="8" t="s">
        <v>385</v>
      </c>
      <c r="C16" s="8" t="s">
        <v>367</v>
      </c>
      <c r="D16" s="8" t="s">
        <v>367</v>
      </c>
      <c r="E16" s="8" t="s">
        <v>386</v>
      </c>
      <c r="F16" s="9">
        <v>260</v>
      </c>
    </row>
    <row r="17" spans="1:6" ht="36" x14ac:dyDescent="0.25">
      <c r="A17" s="7">
        <v>15</v>
      </c>
      <c r="B17" s="8" t="s">
        <v>387</v>
      </c>
      <c r="C17" s="8" t="s">
        <v>358</v>
      </c>
      <c r="D17" s="8" t="s">
        <v>379</v>
      </c>
      <c r="E17" s="8" t="s">
        <v>386</v>
      </c>
      <c r="F17" s="9">
        <v>294</v>
      </c>
    </row>
    <row r="18" spans="1:6" ht="36" x14ac:dyDescent="0.25">
      <c r="A18" s="7">
        <v>16</v>
      </c>
      <c r="B18" s="8" t="s">
        <v>388</v>
      </c>
      <c r="C18" s="8" t="s">
        <v>389</v>
      </c>
      <c r="D18" s="8" t="s">
        <v>379</v>
      </c>
      <c r="E18" s="8" t="s">
        <v>386</v>
      </c>
      <c r="F18" s="9">
        <v>270</v>
      </c>
    </row>
    <row r="19" spans="1:6" ht="36" x14ac:dyDescent="0.25">
      <c r="A19" s="7">
        <v>17</v>
      </c>
      <c r="B19" s="8" t="s">
        <v>390</v>
      </c>
      <c r="C19" s="8" t="s">
        <v>358</v>
      </c>
      <c r="D19" s="8" t="s">
        <v>379</v>
      </c>
      <c r="E19" s="8" t="s">
        <v>386</v>
      </c>
      <c r="F19" s="9">
        <v>320</v>
      </c>
    </row>
    <row r="20" spans="1:6" ht="24" x14ac:dyDescent="0.25">
      <c r="A20" s="7">
        <v>18</v>
      </c>
      <c r="B20" s="8" t="s">
        <v>391</v>
      </c>
      <c r="C20" s="8" t="s">
        <v>373</v>
      </c>
      <c r="D20" s="8" t="s">
        <v>373</v>
      </c>
      <c r="E20" s="8" t="s">
        <v>392</v>
      </c>
      <c r="F20" s="9">
        <v>137</v>
      </c>
    </row>
    <row r="21" spans="1:6" ht="48" x14ac:dyDescent="0.25">
      <c r="A21" s="7">
        <v>19</v>
      </c>
      <c r="B21" s="8" t="s">
        <v>393</v>
      </c>
      <c r="C21" s="8" t="s">
        <v>358</v>
      </c>
      <c r="D21" s="8" t="s">
        <v>376</v>
      </c>
      <c r="E21" s="8" t="s">
        <v>392</v>
      </c>
      <c r="F21" s="9">
        <v>116</v>
      </c>
    </row>
    <row r="22" spans="1:6" ht="36" x14ac:dyDescent="0.25">
      <c r="A22" s="7">
        <v>20</v>
      </c>
      <c r="B22" s="8" t="s">
        <v>394</v>
      </c>
      <c r="C22" s="8" t="s">
        <v>395</v>
      </c>
      <c r="D22" s="8" t="s">
        <v>396</v>
      </c>
      <c r="E22" s="8" t="s">
        <v>392</v>
      </c>
      <c r="F22" s="9">
        <v>91</v>
      </c>
    </row>
    <row r="23" spans="1:6" ht="24" x14ac:dyDescent="0.25">
      <c r="A23" s="7">
        <v>21</v>
      </c>
      <c r="B23" s="8" t="s">
        <v>397</v>
      </c>
      <c r="C23" s="8" t="s">
        <v>398</v>
      </c>
      <c r="D23" s="8" t="s">
        <v>398</v>
      </c>
      <c r="E23" s="8" t="s">
        <v>392</v>
      </c>
      <c r="F23" s="9">
        <v>72</v>
      </c>
    </row>
    <row r="24" spans="1:6" ht="48" x14ac:dyDescent="0.25">
      <c r="A24" s="7">
        <v>22</v>
      </c>
      <c r="B24" s="8" t="s">
        <v>399</v>
      </c>
      <c r="C24" s="8" t="s">
        <v>358</v>
      </c>
      <c r="D24" s="8" t="s">
        <v>400</v>
      </c>
      <c r="E24" s="8" t="s">
        <v>392</v>
      </c>
      <c r="F24" s="9">
        <v>88</v>
      </c>
    </row>
  </sheetData>
  <mergeCells count="2">
    <mergeCell ref="A1:D1"/>
    <mergeCell ref="E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BB54-814A-4D71-9854-571D69219B42}">
  <sheetPr codeName="Arkusz3"/>
  <dimension ref="A1:J72"/>
  <sheetViews>
    <sheetView workbookViewId="0">
      <selection activeCell="G31" sqref="G31"/>
    </sheetView>
  </sheetViews>
  <sheetFormatPr defaultRowHeight="15" x14ac:dyDescent="0.25"/>
  <cols>
    <col min="1" max="1" width="11.140625" bestFit="1" customWidth="1"/>
    <col min="2" max="2" width="23.5703125" bestFit="1" customWidth="1"/>
    <col min="3" max="3" width="22.7109375" bestFit="1" customWidth="1"/>
    <col min="4" max="4" width="29.140625" bestFit="1" customWidth="1"/>
    <col min="5" max="5" width="19.7109375" bestFit="1" customWidth="1"/>
    <col min="6" max="6" width="11.140625" bestFit="1" customWidth="1"/>
    <col min="7" max="7" width="15.85546875" bestFit="1" customWidth="1"/>
    <col min="8" max="8" width="28.7109375" bestFit="1" customWidth="1"/>
    <col min="9" max="9" width="14.42578125" bestFit="1" customWidth="1"/>
    <col min="10" max="10" width="19.42578125" bestFit="1" customWidth="1"/>
  </cols>
  <sheetData>
    <row r="1" spans="1:10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</row>
    <row r="2" spans="1:10" x14ac:dyDescent="0.25">
      <c r="A2" t="s">
        <v>578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  <c r="J2" t="s">
        <v>579</v>
      </c>
    </row>
    <row r="3" spans="1:10" x14ac:dyDescent="0.25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">
        <v>580</v>
      </c>
      <c r="G3" t="s">
        <v>25</v>
      </c>
      <c r="H3" t="s">
        <v>25</v>
      </c>
      <c r="I3" t="s">
        <v>26</v>
      </c>
      <c r="J3" t="s">
        <v>27</v>
      </c>
    </row>
    <row r="4" spans="1:10" x14ac:dyDescent="0.25">
      <c r="F4" t="s">
        <v>28</v>
      </c>
      <c r="G4" t="s">
        <v>29</v>
      </c>
      <c r="H4" t="s">
        <v>30</v>
      </c>
      <c r="I4" t="s">
        <v>31</v>
      </c>
      <c r="J4" t="s">
        <v>32</v>
      </c>
    </row>
    <row r="5" spans="1:10" x14ac:dyDescent="0.25">
      <c r="A5" t="s">
        <v>401</v>
      </c>
      <c r="B5" t="s">
        <v>33</v>
      </c>
      <c r="C5" t="s">
        <v>34</v>
      </c>
      <c r="D5" t="s">
        <v>35</v>
      </c>
      <c r="E5" t="s">
        <v>36</v>
      </c>
      <c r="F5" t="s">
        <v>581</v>
      </c>
      <c r="G5" t="s">
        <v>475</v>
      </c>
      <c r="H5" t="s">
        <v>37</v>
      </c>
      <c r="I5" t="s">
        <v>37</v>
      </c>
      <c r="J5" t="s">
        <v>37</v>
      </c>
    </row>
    <row r="6" spans="1:10" x14ac:dyDescent="0.25">
      <c r="A6" t="s">
        <v>402</v>
      </c>
      <c r="B6" t="s">
        <v>38</v>
      </c>
      <c r="C6" t="s">
        <v>39</v>
      </c>
      <c r="D6" t="s">
        <v>40</v>
      </c>
      <c r="E6" t="s">
        <v>36</v>
      </c>
      <c r="F6" t="s">
        <v>582</v>
      </c>
      <c r="G6" t="s">
        <v>572</v>
      </c>
      <c r="H6" t="s">
        <v>37</v>
      </c>
      <c r="I6" t="s">
        <v>51</v>
      </c>
      <c r="J6" t="s">
        <v>37</v>
      </c>
    </row>
    <row r="7" spans="1:10" x14ac:dyDescent="0.25">
      <c r="A7" t="s">
        <v>403</v>
      </c>
      <c r="B7" t="s">
        <v>41</v>
      </c>
      <c r="C7" t="s">
        <v>42</v>
      </c>
      <c r="D7" t="s">
        <v>42</v>
      </c>
      <c r="E7" t="s">
        <v>36</v>
      </c>
      <c r="F7" t="s">
        <v>583</v>
      </c>
      <c r="G7" t="s">
        <v>474</v>
      </c>
      <c r="H7" t="s">
        <v>37</v>
      </c>
      <c r="I7" t="s">
        <v>37</v>
      </c>
      <c r="J7" t="s">
        <v>37</v>
      </c>
    </row>
    <row r="8" spans="1:10" x14ac:dyDescent="0.25">
      <c r="A8" t="s">
        <v>404</v>
      </c>
      <c r="B8" t="s">
        <v>43</v>
      </c>
      <c r="C8" t="s">
        <v>44</v>
      </c>
      <c r="D8" t="s">
        <v>44</v>
      </c>
      <c r="E8" t="s">
        <v>36</v>
      </c>
      <c r="F8" t="s">
        <v>584</v>
      </c>
      <c r="G8" t="s">
        <v>481</v>
      </c>
      <c r="H8" t="s">
        <v>37</v>
      </c>
      <c r="I8" t="s">
        <v>37</v>
      </c>
      <c r="J8" t="s">
        <v>37</v>
      </c>
    </row>
    <row r="9" spans="1:10" x14ac:dyDescent="0.25">
      <c r="A9" t="s">
        <v>405</v>
      </c>
      <c r="B9" t="s">
        <v>45</v>
      </c>
      <c r="C9" t="s">
        <v>46</v>
      </c>
      <c r="D9" t="s">
        <v>42</v>
      </c>
      <c r="E9" t="s">
        <v>36</v>
      </c>
      <c r="F9" t="s">
        <v>585</v>
      </c>
      <c r="G9" t="s">
        <v>573</v>
      </c>
      <c r="H9" t="s">
        <v>37</v>
      </c>
      <c r="I9" t="s">
        <v>51</v>
      </c>
      <c r="J9" t="s">
        <v>37</v>
      </c>
    </row>
    <row r="10" spans="1:10" x14ac:dyDescent="0.25">
      <c r="A10" t="s">
        <v>406</v>
      </c>
      <c r="B10" t="s">
        <v>47</v>
      </c>
      <c r="C10" t="s">
        <v>48</v>
      </c>
      <c r="D10" t="s">
        <v>48</v>
      </c>
      <c r="E10" t="s">
        <v>36</v>
      </c>
      <c r="F10" t="s">
        <v>586</v>
      </c>
      <c r="G10" t="s">
        <v>478</v>
      </c>
      <c r="H10" t="s">
        <v>37</v>
      </c>
      <c r="I10" t="s">
        <v>37</v>
      </c>
      <c r="J10" t="s">
        <v>37</v>
      </c>
    </row>
    <row r="11" spans="1:10" x14ac:dyDescent="0.25">
      <c r="A11" t="s">
        <v>407</v>
      </c>
      <c r="B11" t="s">
        <v>49</v>
      </c>
      <c r="C11" t="s">
        <v>42</v>
      </c>
      <c r="D11" t="s">
        <v>42</v>
      </c>
      <c r="E11" t="s">
        <v>36</v>
      </c>
      <c r="F11" t="s">
        <v>50</v>
      </c>
      <c r="G11" t="s">
        <v>480</v>
      </c>
      <c r="H11" t="s">
        <v>37</v>
      </c>
      <c r="I11" t="s">
        <v>37</v>
      </c>
      <c r="J11" t="s">
        <v>37</v>
      </c>
    </row>
    <row r="12" spans="1:10" x14ac:dyDescent="0.25">
      <c r="A12" t="s">
        <v>408</v>
      </c>
      <c r="B12" t="s">
        <v>52</v>
      </c>
      <c r="C12" t="s">
        <v>53</v>
      </c>
      <c r="D12" t="s">
        <v>40</v>
      </c>
      <c r="E12" t="s">
        <v>36</v>
      </c>
      <c r="F12" t="s">
        <v>587</v>
      </c>
      <c r="G12" t="s">
        <v>484</v>
      </c>
      <c r="H12" t="s">
        <v>37</v>
      </c>
      <c r="I12" t="s">
        <v>51</v>
      </c>
      <c r="J12" t="s">
        <v>37</v>
      </c>
    </row>
    <row r="13" spans="1:10" x14ac:dyDescent="0.25">
      <c r="A13" t="s">
        <v>409</v>
      </c>
      <c r="B13" t="s">
        <v>54</v>
      </c>
      <c r="C13" t="s">
        <v>42</v>
      </c>
      <c r="D13" t="s">
        <v>42</v>
      </c>
      <c r="E13" t="s">
        <v>36</v>
      </c>
      <c r="F13" t="s">
        <v>588</v>
      </c>
      <c r="G13" t="s">
        <v>477</v>
      </c>
      <c r="H13" t="s">
        <v>37</v>
      </c>
      <c r="I13" t="s">
        <v>37</v>
      </c>
      <c r="J13" t="s">
        <v>37</v>
      </c>
    </row>
    <row r="14" spans="1:10" x14ac:dyDescent="0.25">
      <c r="A14" t="s">
        <v>410</v>
      </c>
      <c r="B14" t="s">
        <v>55</v>
      </c>
      <c r="C14" t="s">
        <v>56</v>
      </c>
      <c r="D14" t="s">
        <v>42</v>
      </c>
      <c r="E14" t="s">
        <v>36</v>
      </c>
      <c r="F14" t="s">
        <v>589</v>
      </c>
      <c r="G14" t="s">
        <v>479</v>
      </c>
      <c r="H14" t="s">
        <v>37</v>
      </c>
      <c r="I14" t="s">
        <v>37</v>
      </c>
      <c r="J14" t="s">
        <v>37</v>
      </c>
    </row>
    <row r="15" spans="1:10" x14ac:dyDescent="0.25">
      <c r="A15" t="s">
        <v>411</v>
      </c>
      <c r="B15" t="s">
        <v>57</v>
      </c>
      <c r="C15" t="s">
        <v>40</v>
      </c>
      <c r="D15" t="s">
        <v>40</v>
      </c>
      <c r="E15" t="s">
        <v>36</v>
      </c>
      <c r="F15" t="s">
        <v>58</v>
      </c>
      <c r="G15" t="s">
        <v>483</v>
      </c>
      <c r="H15" t="s">
        <v>37</v>
      </c>
      <c r="I15" t="s">
        <v>51</v>
      </c>
      <c r="J15" t="s">
        <v>37</v>
      </c>
    </row>
    <row r="16" spans="1:10" x14ac:dyDescent="0.25">
      <c r="A16" t="s">
        <v>412</v>
      </c>
      <c r="B16" t="s">
        <v>59</v>
      </c>
      <c r="C16" t="s">
        <v>60</v>
      </c>
      <c r="D16" t="s">
        <v>40</v>
      </c>
      <c r="E16" t="s">
        <v>36</v>
      </c>
      <c r="F16" t="s">
        <v>590</v>
      </c>
      <c r="G16" t="s">
        <v>575</v>
      </c>
      <c r="H16" t="s">
        <v>37</v>
      </c>
      <c r="I16" t="s">
        <v>51</v>
      </c>
      <c r="J16" t="s">
        <v>37</v>
      </c>
    </row>
    <row r="17" spans="1:10" x14ac:dyDescent="0.25">
      <c r="A17" t="s">
        <v>413</v>
      </c>
      <c r="B17" t="s">
        <v>61</v>
      </c>
      <c r="C17" t="s">
        <v>62</v>
      </c>
      <c r="D17" t="s">
        <v>62</v>
      </c>
      <c r="E17" t="s">
        <v>36</v>
      </c>
      <c r="F17" t="s">
        <v>591</v>
      </c>
      <c r="G17" t="s">
        <v>571</v>
      </c>
      <c r="H17" t="s">
        <v>37</v>
      </c>
      <c r="I17" t="s">
        <v>37</v>
      </c>
      <c r="J17" t="s">
        <v>37</v>
      </c>
    </row>
    <row r="18" spans="1:10" x14ac:dyDescent="0.25">
      <c r="A18" t="s">
        <v>414</v>
      </c>
      <c r="B18" t="s">
        <v>63</v>
      </c>
      <c r="C18" t="s">
        <v>64</v>
      </c>
      <c r="D18" t="s">
        <v>44</v>
      </c>
      <c r="E18" t="s">
        <v>36</v>
      </c>
      <c r="F18" t="s">
        <v>592</v>
      </c>
      <c r="G18" t="s">
        <v>593</v>
      </c>
      <c r="H18" t="s">
        <v>37</v>
      </c>
      <c r="I18" t="s">
        <v>37</v>
      </c>
      <c r="J18" t="s">
        <v>37</v>
      </c>
    </row>
    <row r="19" spans="1:10" x14ac:dyDescent="0.25">
      <c r="A19" t="s">
        <v>415</v>
      </c>
      <c r="B19" t="s">
        <v>65</v>
      </c>
      <c r="C19" t="s">
        <v>66</v>
      </c>
      <c r="D19" t="s">
        <v>40</v>
      </c>
      <c r="E19" t="s">
        <v>36</v>
      </c>
      <c r="F19" t="s">
        <v>594</v>
      </c>
      <c r="G19" t="s">
        <v>577</v>
      </c>
      <c r="H19" t="s">
        <v>37</v>
      </c>
      <c r="I19" t="s">
        <v>51</v>
      </c>
      <c r="J19" t="s">
        <v>37</v>
      </c>
    </row>
    <row r="20" spans="1:10" x14ac:dyDescent="0.25">
      <c r="A20" t="s">
        <v>416</v>
      </c>
      <c r="B20" t="s">
        <v>67</v>
      </c>
      <c r="C20" t="s">
        <v>40</v>
      </c>
      <c r="D20" t="s">
        <v>40</v>
      </c>
      <c r="E20" t="s">
        <v>36</v>
      </c>
      <c r="F20" t="s">
        <v>595</v>
      </c>
      <c r="G20" t="s">
        <v>485</v>
      </c>
      <c r="H20" t="s">
        <v>37</v>
      </c>
      <c r="I20" t="s">
        <v>51</v>
      </c>
      <c r="J20" t="s">
        <v>37</v>
      </c>
    </row>
    <row r="21" spans="1:10" x14ac:dyDescent="0.25">
      <c r="A21" t="s">
        <v>417</v>
      </c>
      <c r="B21" t="s">
        <v>68</v>
      </c>
      <c r="C21" t="s">
        <v>69</v>
      </c>
      <c r="D21" t="s">
        <v>42</v>
      </c>
      <c r="E21" t="s">
        <v>36</v>
      </c>
      <c r="F21" t="s">
        <v>596</v>
      </c>
      <c r="G21" t="s">
        <v>576</v>
      </c>
      <c r="H21" t="s">
        <v>37</v>
      </c>
      <c r="I21" t="s">
        <v>51</v>
      </c>
      <c r="J21" t="s">
        <v>37</v>
      </c>
    </row>
    <row r="22" spans="1:10" x14ac:dyDescent="0.25">
      <c r="A22" t="s">
        <v>418</v>
      </c>
      <c r="B22" t="s">
        <v>597</v>
      </c>
      <c r="C22" t="s">
        <v>70</v>
      </c>
      <c r="D22" t="s">
        <v>71</v>
      </c>
      <c r="E22" t="s">
        <v>36</v>
      </c>
      <c r="F22" t="s">
        <v>598</v>
      </c>
      <c r="G22" t="s">
        <v>574</v>
      </c>
      <c r="H22" t="s">
        <v>37</v>
      </c>
      <c r="I22" t="s">
        <v>37</v>
      </c>
      <c r="J22" t="s">
        <v>37</v>
      </c>
    </row>
    <row r="23" spans="1:10" x14ac:dyDescent="0.25">
      <c r="A23" t="s">
        <v>419</v>
      </c>
      <c r="B23" t="s">
        <v>72</v>
      </c>
      <c r="C23" t="s">
        <v>73</v>
      </c>
      <c r="D23" t="s">
        <v>40</v>
      </c>
      <c r="E23" t="s">
        <v>36</v>
      </c>
      <c r="F23" t="s">
        <v>599</v>
      </c>
      <c r="G23" t="s">
        <v>600</v>
      </c>
      <c r="H23" t="s">
        <v>37</v>
      </c>
      <c r="I23" t="s">
        <v>51</v>
      </c>
      <c r="J23" t="s">
        <v>37</v>
      </c>
    </row>
    <row r="24" spans="1:10" x14ac:dyDescent="0.25">
      <c r="A24" t="s">
        <v>420</v>
      </c>
      <c r="B24" t="s">
        <v>74</v>
      </c>
      <c r="C24" t="s">
        <v>60</v>
      </c>
      <c r="D24" t="s">
        <v>40</v>
      </c>
      <c r="E24" t="s">
        <v>36</v>
      </c>
      <c r="F24" t="s">
        <v>601</v>
      </c>
      <c r="G24" t="s">
        <v>602</v>
      </c>
      <c r="H24" t="s">
        <v>37</v>
      </c>
      <c r="I24" t="s">
        <v>51</v>
      </c>
      <c r="J24" t="s">
        <v>37</v>
      </c>
    </row>
    <row r="25" spans="1:10" x14ac:dyDescent="0.25">
      <c r="A25" t="s">
        <v>421</v>
      </c>
      <c r="B25" t="s">
        <v>75</v>
      </c>
      <c r="C25" t="s">
        <v>76</v>
      </c>
      <c r="D25" t="s">
        <v>42</v>
      </c>
      <c r="E25" t="s">
        <v>36</v>
      </c>
      <c r="F25" t="s">
        <v>603</v>
      </c>
      <c r="G25" t="s">
        <v>604</v>
      </c>
      <c r="H25" t="s">
        <v>37</v>
      </c>
      <c r="I25" t="s">
        <v>51</v>
      </c>
      <c r="J25" t="s">
        <v>37</v>
      </c>
    </row>
    <row r="26" spans="1:10" x14ac:dyDescent="0.25">
      <c r="A26" t="s">
        <v>422</v>
      </c>
      <c r="B26" t="s">
        <v>77</v>
      </c>
      <c r="C26" t="s">
        <v>78</v>
      </c>
      <c r="D26" t="s">
        <v>42</v>
      </c>
      <c r="E26" t="s">
        <v>36</v>
      </c>
      <c r="F26" t="s">
        <v>79</v>
      </c>
      <c r="G26" t="s">
        <v>476</v>
      </c>
      <c r="H26" t="s">
        <v>475</v>
      </c>
      <c r="I26" t="s">
        <v>80</v>
      </c>
      <c r="J26" t="s">
        <v>605</v>
      </c>
    </row>
    <row r="27" spans="1:10" x14ac:dyDescent="0.25">
      <c r="A27" t="s">
        <v>423</v>
      </c>
      <c r="B27" t="s">
        <v>81</v>
      </c>
      <c r="C27" t="s">
        <v>44</v>
      </c>
      <c r="D27" t="s">
        <v>44</v>
      </c>
      <c r="E27" t="s">
        <v>36</v>
      </c>
      <c r="F27" t="s">
        <v>82</v>
      </c>
      <c r="G27" t="s">
        <v>606</v>
      </c>
      <c r="H27" t="s">
        <v>37</v>
      </c>
      <c r="I27" t="s">
        <v>51</v>
      </c>
      <c r="J27" t="s">
        <v>37</v>
      </c>
    </row>
    <row r="28" spans="1:10" x14ac:dyDescent="0.25">
      <c r="A28" t="s">
        <v>424</v>
      </c>
      <c r="B28" t="s">
        <v>83</v>
      </c>
      <c r="C28" t="s">
        <v>84</v>
      </c>
      <c r="D28" t="s">
        <v>40</v>
      </c>
      <c r="E28" t="s">
        <v>36</v>
      </c>
      <c r="F28" t="s">
        <v>581</v>
      </c>
      <c r="G28" t="s">
        <v>607</v>
      </c>
      <c r="H28" t="s">
        <v>37</v>
      </c>
      <c r="I28" t="s">
        <v>51</v>
      </c>
      <c r="J28" t="s">
        <v>37</v>
      </c>
    </row>
    <row r="29" spans="1:10" x14ac:dyDescent="0.25">
      <c r="A29" t="s">
        <v>425</v>
      </c>
      <c r="B29" t="s">
        <v>608</v>
      </c>
      <c r="C29" t="s">
        <v>85</v>
      </c>
      <c r="D29" t="s">
        <v>609</v>
      </c>
      <c r="E29" t="s">
        <v>36</v>
      </c>
      <c r="F29" t="s">
        <v>86</v>
      </c>
      <c r="G29" t="s">
        <v>610</v>
      </c>
      <c r="H29" t="s">
        <v>37</v>
      </c>
      <c r="I29" t="s">
        <v>37</v>
      </c>
      <c r="J29" t="s">
        <v>37</v>
      </c>
    </row>
    <row r="30" spans="1:10" x14ac:dyDescent="0.25">
      <c r="A30" t="s">
        <v>426</v>
      </c>
      <c r="B30" t="s">
        <v>87</v>
      </c>
      <c r="C30" t="s">
        <v>88</v>
      </c>
      <c r="D30" t="s">
        <v>40</v>
      </c>
      <c r="E30" t="s">
        <v>36</v>
      </c>
      <c r="F30" t="s">
        <v>89</v>
      </c>
      <c r="G30" t="s">
        <v>611</v>
      </c>
      <c r="H30" t="s">
        <v>37</v>
      </c>
      <c r="I30" t="s">
        <v>51</v>
      </c>
      <c r="J30" t="s">
        <v>37</v>
      </c>
    </row>
    <row r="31" spans="1:10" x14ac:dyDescent="0.25">
      <c r="A31" t="s">
        <v>427</v>
      </c>
      <c r="B31" t="s">
        <v>90</v>
      </c>
      <c r="C31" t="s">
        <v>91</v>
      </c>
      <c r="D31" t="s">
        <v>92</v>
      </c>
      <c r="E31" t="s">
        <v>93</v>
      </c>
      <c r="F31" t="s">
        <v>94</v>
      </c>
      <c r="G31" t="s">
        <v>612</v>
      </c>
      <c r="H31" t="s">
        <v>37</v>
      </c>
      <c r="I31" t="s">
        <v>37</v>
      </c>
      <c r="J31" t="s">
        <v>37</v>
      </c>
    </row>
    <row r="32" spans="1:10" x14ac:dyDescent="0.25">
      <c r="A32" t="s">
        <v>428</v>
      </c>
      <c r="B32" t="s">
        <v>95</v>
      </c>
      <c r="C32" t="s">
        <v>96</v>
      </c>
      <c r="D32" t="s">
        <v>97</v>
      </c>
      <c r="E32" t="s">
        <v>98</v>
      </c>
      <c r="F32" t="s">
        <v>99</v>
      </c>
      <c r="G32" t="s">
        <v>613</v>
      </c>
      <c r="H32" t="s">
        <v>37</v>
      </c>
      <c r="I32" t="s">
        <v>51</v>
      </c>
      <c r="J32" t="s">
        <v>37</v>
      </c>
    </row>
    <row r="33" spans="1:10" x14ac:dyDescent="0.25">
      <c r="A33" t="s">
        <v>429</v>
      </c>
      <c r="B33" t="s">
        <v>100</v>
      </c>
      <c r="C33" t="s">
        <v>101</v>
      </c>
      <c r="D33" t="s">
        <v>101</v>
      </c>
      <c r="E33" t="s">
        <v>98</v>
      </c>
      <c r="F33" t="s">
        <v>102</v>
      </c>
      <c r="G33" t="s">
        <v>614</v>
      </c>
      <c r="H33" t="s">
        <v>37</v>
      </c>
      <c r="I33" t="s">
        <v>51</v>
      </c>
      <c r="J33" t="s">
        <v>615</v>
      </c>
    </row>
    <row r="34" spans="1:10" x14ac:dyDescent="0.25">
      <c r="A34" t="s">
        <v>430</v>
      </c>
      <c r="B34" t="s">
        <v>103</v>
      </c>
      <c r="C34" t="s">
        <v>104</v>
      </c>
      <c r="D34" t="s">
        <v>104</v>
      </c>
      <c r="E34" t="s">
        <v>98</v>
      </c>
      <c r="F34" t="s">
        <v>105</v>
      </c>
      <c r="G34" t="s">
        <v>616</v>
      </c>
      <c r="H34" t="s">
        <v>37</v>
      </c>
      <c r="I34" t="s">
        <v>51</v>
      </c>
      <c r="J34" t="s">
        <v>37</v>
      </c>
    </row>
    <row r="35" spans="1:10" x14ac:dyDescent="0.25">
      <c r="A35" t="s">
        <v>431</v>
      </c>
      <c r="B35" t="s">
        <v>106</v>
      </c>
      <c r="C35" t="s">
        <v>107</v>
      </c>
      <c r="D35" t="s">
        <v>617</v>
      </c>
      <c r="E35" t="s">
        <v>98</v>
      </c>
      <c r="F35" t="s">
        <v>108</v>
      </c>
      <c r="G35" t="s">
        <v>618</v>
      </c>
      <c r="H35" t="s">
        <v>37</v>
      </c>
      <c r="I35" t="s">
        <v>51</v>
      </c>
      <c r="J35" t="s">
        <v>37</v>
      </c>
    </row>
    <row r="36" spans="1:10" x14ac:dyDescent="0.25">
      <c r="A36" t="s">
        <v>432</v>
      </c>
      <c r="B36" t="s">
        <v>109</v>
      </c>
      <c r="C36" t="s">
        <v>107</v>
      </c>
      <c r="D36" t="s">
        <v>617</v>
      </c>
      <c r="E36" t="s">
        <v>98</v>
      </c>
      <c r="F36" t="s">
        <v>110</v>
      </c>
      <c r="G36" t="s">
        <v>619</v>
      </c>
      <c r="H36" t="s">
        <v>37</v>
      </c>
      <c r="I36" t="s">
        <v>51</v>
      </c>
      <c r="J36" t="s">
        <v>620</v>
      </c>
    </row>
    <row r="37" spans="1:10" x14ac:dyDescent="0.25">
      <c r="A37" t="s">
        <v>433</v>
      </c>
      <c r="B37" t="s">
        <v>112</v>
      </c>
      <c r="C37" t="s">
        <v>107</v>
      </c>
      <c r="D37" t="s">
        <v>617</v>
      </c>
      <c r="E37" t="s">
        <v>98</v>
      </c>
      <c r="F37" t="s">
        <v>113</v>
      </c>
      <c r="G37" t="s">
        <v>473</v>
      </c>
      <c r="H37" t="s">
        <v>37</v>
      </c>
      <c r="I37" t="s">
        <v>51</v>
      </c>
      <c r="J37" t="s">
        <v>621</v>
      </c>
    </row>
    <row r="38" spans="1:10" x14ac:dyDescent="0.25">
      <c r="A38" t="s">
        <v>434</v>
      </c>
      <c r="B38" t="s">
        <v>114</v>
      </c>
      <c r="C38" t="s">
        <v>115</v>
      </c>
      <c r="D38" t="s">
        <v>115</v>
      </c>
      <c r="E38" t="s">
        <v>98</v>
      </c>
      <c r="F38" t="s">
        <v>116</v>
      </c>
      <c r="G38" t="s">
        <v>622</v>
      </c>
      <c r="H38" t="s">
        <v>37</v>
      </c>
      <c r="I38" t="s">
        <v>37</v>
      </c>
      <c r="J38" t="s">
        <v>623</v>
      </c>
    </row>
    <row r="39" spans="1:10" x14ac:dyDescent="0.25">
      <c r="A39" t="s">
        <v>435</v>
      </c>
      <c r="B39" t="s">
        <v>117</v>
      </c>
      <c r="C39" t="s">
        <v>118</v>
      </c>
      <c r="D39" t="s">
        <v>119</v>
      </c>
      <c r="E39" t="s">
        <v>120</v>
      </c>
      <c r="F39" t="s">
        <v>121</v>
      </c>
      <c r="G39" t="s">
        <v>624</v>
      </c>
      <c r="H39" t="s">
        <v>37</v>
      </c>
      <c r="I39" t="s">
        <v>37</v>
      </c>
      <c r="J39" t="s">
        <v>37</v>
      </c>
    </row>
    <row r="40" spans="1:10" x14ac:dyDescent="0.25">
      <c r="A40" t="s">
        <v>436</v>
      </c>
      <c r="B40" t="s">
        <v>122</v>
      </c>
      <c r="C40" t="s">
        <v>85</v>
      </c>
      <c r="D40" t="s">
        <v>119</v>
      </c>
      <c r="E40" t="s">
        <v>120</v>
      </c>
      <c r="F40" t="s">
        <v>123</v>
      </c>
      <c r="G40" t="s">
        <v>625</v>
      </c>
      <c r="H40" t="s">
        <v>37</v>
      </c>
      <c r="I40" t="s">
        <v>37</v>
      </c>
      <c r="J40" t="s">
        <v>37</v>
      </c>
    </row>
    <row r="41" spans="1:10" x14ac:dyDescent="0.25">
      <c r="A41" t="s">
        <v>437</v>
      </c>
      <c r="B41" t="s">
        <v>124</v>
      </c>
      <c r="C41" t="s">
        <v>85</v>
      </c>
      <c r="D41" t="s">
        <v>125</v>
      </c>
      <c r="E41" t="s">
        <v>120</v>
      </c>
      <c r="F41" t="s">
        <v>126</v>
      </c>
      <c r="G41" t="s">
        <v>626</v>
      </c>
      <c r="H41" t="s">
        <v>37</v>
      </c>
      <c r="I41" t="s">
        <v>37</v>
      </c>
      <c r="J41" t="s">
        <v>37</v>
      </c>
    </row>
    <row r="42" spans="1:10" x14ac:dyDescent="0.25">
      <c r="A42" t="s">
        <v>438</v>
      </c>
      <c r="B42" t="s">
        <v>127</v>
      </c>
      <c r="C42" t="s">
        <v>128</v>
      </c>
      <c r="D42" t="s">
        <v>133</v>
      </c>
      <c r="E42" t="s">
        <v>129</v>
      </c>
      <c r="F42" t="s">
        <v>130</v>
      </c>
      <c r="G42" t="s">
        <v>627</v>
      </c>
      <c r="H42" t="s">
        <v>37</v>
      </c>
      <c r="I42" t="s">
        <v>51</v>
      </c>
      <c r="J42" t="s">
        <v>37</v>
      </c>
    </row>
    <row r="43" spans="1:10" x14ac:dyDescent="0.25">
      <c r="A43" t="s">
        <v>439</v>
      </c>
      <c r="B43" t="s">
        <v>131</v>
      </c>
      <c r="C43" t="s">
        <v>132</v>
      </c>
      <c r="D43" t="s">
        <v>133</v>
      </c>
      <c r="E43" t="s">
        <v>129</v>
      </c>
      <c r="F43" t="s">
        <v>134</v>
      </c>
      <c r="G43" t="s">
        <v>482</v>
      </c>
      <c r="H43" t="s">
        <v>37</v>
      </c>
      <c r="I43" t="s">
        <v>37</v>
      </c>
      <c r="J43" t="s">
        <v>37</v>
      </c>
    </row>
    <row r="44" spans="1:10" x14ac:dyDescent="0.25">
      <c r="A44" t="s">
        <v>440</v>
      </c>
      <c r="B44" t="s">
        <v>628</v>
      </c>
      <c r="C44" t="s">
        <v>629</v>
      </c>
      <c r="D44" t="s">
        <v>135</v>
      </c>
      <c r="E44" t="s">
        <v>129</v>
      </c>
      <c r="F44" t="s">
        <v>99</v>
      </c>
      <c r="G44" t="s">
        <v>630</v>
      </c>
      <c r="H44" t="s">
        <v>37</v>
      </c>
      <c r="I44" t="s">
        <v>37</v>
      </c>
      <c r="J44" t="s">
        <v>37</v>
      </c>
    </row>
    <row r="45" spans="1:10" x14ac:dyDescent="0.25">
      <c r="A45" t="s">
        <v>441</v>
      </c>
      <c r="B45" t="s">
        <v>137</v>
      </c>
      <c r="C45" t="s">
        <v>138</v>
      </c>
      <c r="D45" t="s">
        <v>138</v>
      </c>
      <c r="E45" t="s">
        <v>129</v>
      </c>
      <c r="F45" t="s">
        <v>631</v>
      </c>
      <c r="G45" t="s">
        <v>632</v>
      </c>
      <c r="H45" t="s">
        <v>37</v>
      </c>
      <c r="I45" t="s">
        <v>37</v>
      </c>
      <c r="J45" t="s">
        <v>37</v>
      </c>
    </row>
    <row r="46" spans="1:10" x14ac:dyDescent="0.25">
      <c r="A46" t="s">
        <v>442</v>
      </c>
      <c r="B46" t="s">
        <v>139</v>
      </c>
      <c r="C46" t="s">
        <v>132</v>
      </c>
      <c r="D46" t="s">
        <v>133</v>
      </c>
      <c r="E46" t="s">
        <v>129</v>
      </c>
      <c r="F46" t="s">
        <v>140</v>
      </c>
      <c r="G46" t="s">
        <v>633</v>
      </c>
      <c r="H46" t="s">
        <v>37</v>
      </c>
      <c r="I46" t="s">
        <v>37</v>
      </c>
      <c r="J46" t="s">
        <v>37</v>
      </c>
    </row>
    <row r="47" spans="1:10" x14ac:dyDescent="0.25">
      <c r="A47" t="s">
        <v>443</v>
      </c>
      <c r="B47" t="s">
        <v>141</v>
      </c>
      <c r="C47" t="s">
        <v>118</v>
      </c>
      <c r="D47" t="s">
        <v>634</v>
      </c>
      <c r="E47" t="s">
        <v>129</v>
      </c>
      <c r="F47" t="s">
        <v>142</v>
      </c>
      <c r="G47" t="s">
        <v>635</v>
      </c>
      <c r="H47" t="s">
        <v>37</v>
      </c>
      <c r="I47" t="s">
        <v>37</v>
      </c>
      <c r="J47" t="s">
        <v>37</v>
      </c>
    </row>
    <row r="48" spans="1:10" x14ac:dyDescent="0.25">
      <c r="A48" t="s">
        <v>444</v>
      </c>
      <c r="B48" t="s">
        <v>143</v>
      </c>
      <c r="C48" t="s">
        <v>133</v>
      </c>
      <c r="D48" t="s">
        <v>133</v>
      </c>
      <c r="E48" t="s">
        <v>129</v>
      </c>
      <c r="F48" t="s">
        <v>144</v>
      </c>
      <c r="G48" t="s">
        <v>636</v>
      </c>
      <c r="H48" t="s">
        <v>37</v>
      </c>
      <c r="I48" t="s">
        <v>37</v>
      </c>
      <c r="J48" t="s">
        <v>37</v>
      </c>
    </row>
    <row r="49" spans="1:10" x14ac:dyDescent="0.25">
      <c r="A49" t="s">
        <v>445</v>
      </c>
      <c r="B49" t="s">
        <v>145</v>
      </c>
      <c r="C49" t="s">
        <v>133</v>
      </c>
      <c r="D49" t="s">
        <v>133</v>
      </c>
      <c r="E49" t="s">
        <v>129</v>
      </c>
      <c r="F49" t="s">
        <v>146</v>
      </c>
      <c r="G49" t="s">
        <v>637</v>
      </c>
      <c r="H49" t="s">
        <v>37</v>
      </c>
      <c r="I49" t="s">
        <v>37</v>
      </c>
      <c r="J49" t="s">
        <v>37</v>
      </c>
    </row>
    <row r="50" spans="1:10" x14ac:dyDescent="0.25">
      <c r="A50" t="s">
        <v>446</v>
      </c>
      <c r="B50" t="s">
        <v>147</v>
      </c>
      <c r="C50" t="s">
        <v>118</v>
      </c>
      <c r="D50" t="s">
        <v>148</v>
      </c>
      <c r="E50" t="s">
        <v>129</v>
      </c>
      <c r="F50" t="s">
        <v>149</v>
      </c>
      <c r="G50" t="s">
        <v>638</v>
      </c>
      <c r="H50" t="s">
        <v>37</v>
      </c>
      <c r="I50" t="s">
        <v>37</v>
      </c>
      <c r="J50" t="s">
        <v>37</v>
      </c>
    </row>
    <row r="51" spans="1:10" x14ac:dyDescent="0.25">
      <c r="A51" t="s">
        <v>447</v>
      </c>
      <c r="B51" t="s">
        <v>150</v>
      </c>
      <c r="C51" t="s">
        <v>151</v>
      </c>
      <c r="D51" t="s">
        <v>151</v>
      </c>
      <c r="E51" t="s">
        <v>152</v>
      </c>
      <c r="F51" t="s">
        <v>153</v>
      </c>
      <c r="G51" t="s">
        <v>639</v>
      </c>
      <c r="H51" t="s">
        <v>37</v>
      </c>
      <c r="I51" t="s">
        <v>37</v>
      </c>
      <c r="J51" t="s">
        <v>37</v>
      </c>
    </row>
    <row r="52" spans="1:10" x14ac:dyDescent="0.25">
      <c r="A52" t="s">
        <v>448</v>
      </c>
      <c r="B52" t="s">
        <v>154</v>
      </c>
      <c r="C52" t="s">
        <v>155</v>
      </c>
      <c r="D52" t="s">
        <v>156</v>
      </c>
      <c r="E52" t="s">
        <v>152</v>
      </c>
      <c r="F52" t="s">
        <v>157</v>
      </c>
      <c r="G52" t="s">
        <v>640</v>
      </c>
      <c r="H52" t="s">
        <v>37</v>
      </c>
      <c r="I52" t="s">
        <v>51</v>
      </c>
      <c r="J52" t="s">
        <v>37</v>
      </c>
    </row>
    <row r="53" spans="1:10" x14ac:dyDescent="0.25">
      <c r="A53" t="s">
        <v>449</v>
      </c>
      <c r="B53" t="s">
        <v>158</v>
      </c>
      <c r="C53" t="s">
        <v>159</v>
      </c>
      <c r="D53" t="s">
        <v>156</v>
      </c>
      <c r="E53" t="s">
        <v>152</v>
      </c>
      <c r="F53" t="s">
        <v>641</v>
      </c>
      <c r="G53" t="s">
        <v>642</v>
      </c>
      <c r="H53" t="s">
        <v>572</v>
      </c>
      <c r="I53" t="s">
        <v>643</v>
      </c>
      <c r="J53" t="s">
        <v>37</v>
      </c>
    </row>
    <row r="54" spans="1:10" x14ac:dyDescent="0.25">
      <c r="A54" t="s">
        <v>450</v>
      </c>
      <c r="B54" t="s">
        <v>160</v>
      </c>
      <c r="C54" t="s">
        <v>159</v>
      </c>
      <c r="D54" t="s">
        <v>156</v>
      </c>
      <c r="E54" t="s">
        <v>152</v>
      </c>
      <c r="F54" t="s">
        <v>644</v>
      </c>
      <c r="G54" t="s">
        <v>645</v>
      </c>
      <c r="H54" t="s">
        <v>572</v>
      </c>
      <c r="I54" t="s">
        <v>80</v>
      </c>
      <c r="J54" t="s">
        <v>136</v>
      </c>
    </row>
    <row r="55" spans="1:10" x14ac:dyDescent="0.25">
      <c r="A55" t="s">
        <v>451</v>
      </c>
      <c r="B55" t="s">
        <v>161</v>
      </c>
      <c r="C55" t="s">
        <v>162</v>
      </c>
      <c r="D55" t="s">
        <v>162</v>
      </c>
      <c r="E55" t="s">
        <v>152</v>
      </c>
      <c r="F55" t="s">
        <v>163</v>
      </c>
      <c r="G55" t="s">
        <v>645</v>
      </c>
      <c r="H55" t="s">
        <v>37</v>
      </c>
      <c r="I55" t="s">
        <v>51</v>
      </c>
      <c r="J55" t="s">
        <v>37</v>
      </c>
    </row>
    <row r="56" spans="1:10" x14ac:dyDescent="0.25">
      <c r="A56" t="s">
        <v>452</v>
      </c>
      <c r="B56" t="s">
        <v>164</v>
      </c>
      <c r="C56" t="s">
        <v>159</v>
      </c>
      <c r="D56" t="s">
        <v>156</v>
      </c>
      <c r="E56" t="s">
        <v>152</v>
      </c>
      <c r="F56" t="s">
        <v>646</v>
      </c>
      <c r="G56" t="s">
        <v>642</v>
      </c>
      <c r="H56" t="s">
        <v>572</v>
      </c>
      <c r="I56" t="s">
        <v>80</v>
      </c>
      <c r="J56" t="s">
        <v>126</v>
      </c>
    </row>
    <row r="57" spans="1:10" x14ac:dyDescent="0.25">
      <c r="A57" t="s">
        <v>453</v>
      </c>
      <c r="B57" t="s">
        <v>165</v>
      </c>
      <c r="C57" t="s">
        <v>91</v>
      </c>
      <c r="D57" t="s">
        <v>647</v>
      </c>
      <c r="E57" t="s">
        <v>152</v>
      </c>
      <c r="F57" t="s">
        <v>166</v>
      </c>
      <c r="G57" t="s">
        <v>640</v>
      </c>
      <c r="H57" t="s">
        <v>37</v>
      </c>
      <c r="I57" t="s">
        <v>111</v>
      </c>
      <c r="J57" t="s">
        <v>37</v>
      </c>
    </row>
    <row r="58" spans="1:10" x14ac:dyDescent="0.25">
      <c r="A58" t="s">
        <v>454</v>
      </c>
      <c r="B58" t="s">
        <v>167</v>
      </c>
      <c r="C58" t="s">
        <v>168</v>
      </c>
      <c r="D58" t="s">
        <v>168</v>
      </c>
      <c r="E58" t="s">
        <v>152</v>
      </c>
      <c r="F58" t="s">
        <v>169</v>
      </c>
      <c r="G58" t="s">
        <v>639</v>
      </c>
      <c r="H58" t="s">
        <v>572</v>
      </c>
      <c r="I58" t="s">
        <v>51</v>
      </c>
      <c r="J58" t="s">
        <v>648</v>
      </c>
    </row>
    <row r="59" spans="1:10" x14ac:dyDescent="0.25">
      <c r="A59" t="s">
        <v>455</v>
      </c>
      <c r="B59" t="s">
        <v>170</v>
      </c>
      <c r="C59" t="s">
        <v>151</v>
      </c>
      <c r="D59" t="s">
        <v>151</v>
      </c>
      <c r="E59" t="s">
        <v>152</v>
      </c>
      <c r="F59" t="s">
        <v>171</v>
      </c>
      <c r="G59" t="s">
        <v>638</v>
      </c>
      <c r="H59" t="s">
        <v>37</v>
      </c>
      <c r="I59" t="s">
        <v>37</v>
      </c>
      <c r="J59" t="s">
        <v>37</v>
      </c>
    </row>
    <row r="60" spans="1:10" x14ac:dyDescent="0.25">
      <c r="A60" t="s">
        <v>456</v>
      </c>
      <c r="B60" t="s">
        <v>172</v>
      </c>
      <c r="C60" t="s">
        <v>173</v>
      </c>
      <c r="D60" t="s">
        <v>649</v>
      </c>
      <c r="E60" t="s">
        <v>152</v>
      </c>
      <c r="F60" t="s">
        <v>174</v>
      </c>
      <c r="G60" t="s">
        <v>637</v>
      </c>
      <c r="H60" t="s">
        <v>37</v>
      </c>
      <c r="I60" t="s">
        <v>51</v>
      </c>
      <c r="J60" t="s">
        <v>650</v>
      </c>
    </row>
    <row r="61" spans="1:10" x14ac:dyDescent="0.25">
      <c r="A61" t="s">
        <v>457</v>
      </c>
      <c r="B61" t="s">
        <v>175</v>
      </c>
      <c r="C61" t="s">
        <v>176</v>
      </c>
      <c r="D61" t="s">
        <v>151</v>
      </c>
      <c r="E61" t="s">
        <v>152</v>
      </c>
      <c r="F61" t="s">
        <v>651</v>
      </c>
      <c r="G61" t="s">
        <v>636</v>
      </c>
      <c r="H61" t="s">
        <v>37</v>
      </c>
      <c r="I61" t="s">
        <v>51</v>
      </c>
      <c r="J61" t="s">
        <v>37</v>
      </c>
    </row>
    <row r="62" spans="1:10" x14ac:dyDescent="0.25">
      <c r="A62" t="s">
        <v>458</v>
      </c>
      <c r="B62" t="s">
        <v>177</v>
      </c>
      <c r="C62" t="s">
        <v>178</v>
      </c>
      <c r="D62" t="s">
        <v>156</v>
      </c>
      <c r="E62" t="s">
        <v>152</v>
      </c>
      <c r="F62" t="s">
        <v>652</v>
      </c>
      <c r="G62" t="s">
        <v>635</v>
      </c>
      <c r="H62" t="s">
        <v>37</v>
      </c>
      <c r="I62" t="s">
        <v>37</v>
      </c>
      <c r="J62" t="s">
        <v>37</v>
      </c>
    </row>
    <row r="63" spans="1:10" x14ac:dyDescent="0.25">
      <c r="A63" t="s">
        <v>459</v>
      </c>
      <c r="B63" t="s">
        <v>179</v>
      </c>
      <c r="C63" t="s">
        <v>168</v>
      </c>
      <c r="D63" t="s">
        <v>168</v>
      </c>
      <c r="E63" t="s">
        <v>152</v>
      </c>
      <c r="F63" t="s">
        <v>180</v>
      </c>
      <c r="G63" t="s">
        <v>633</v>
      </c>
      <c r="H63" t="s">
        <v>37</v>
      </c>
      <c r="I63" t="s">
        <v>37</v>
      </c>
      <c r="J63" t="s">
        <v>37</v>
      </c>
    </row>
    <row r="64" spans="1:10" x14ac:dyDescent="0.25">
      <c r="A64" t="s">
        <v>460</v>
      </c>
      <c r="B64" t="s">
        <v>181</v>
      </c>
      <c r="C64" t="s">
        <v>182</v>
      </c>
      <c r="D64" t="s">
        <v>156</v>
      </c>
      <c r="E64" t="s">
        <v>152</v>
      </c>
      <c r="F64" t="s">
        <v>183</v>
      </c>
      <c r="G64" t="s">
        <v>632</v>
      </c>
      <c r="H64" t="s">
        <v>37</v>
      </c>
      <c r="I64" t="s">
        <v>51</v>
      </c>
      <c r="J64" t="s">
        <v>37</v>
      </c>
    </row>
    <row r="65" spans="1:10" x14ac:dyDescent="0.25">
      <c r="A65" t="s">
        <v>461</v>
      </c>
      <c r="B65" t="s">
        <v>184</v>
      </c>
      <c r="C65" t="s">
        <v>159</v>
      </c>
      <c r="D65" t="s">
        <v>649</v>
      </c>
      <c r="E65" t="s">
        <v>152</v>
      </c>
      <c r="F65" t="s">
        <v>185</v>
      </c>
      <c r="G65" t="s">
        <v>630</v>
      </c>
      <c r="H65" t="s">
        <v>37</v>
      </c>
      <c r="I65" t="s">
        <v>51</v>
      </c>
      <c r="J65" t="s">
        <v>653</v>
      </c>
    </row>
    <row r="66" spans="1:10" x14ac:dyDescent="0.25">
      <c r="A66" t="s">
        <v>462</v>
      </c>
      <c r="B66" t="s">
        <v>654</v>
      </c>
      <c r="C66" t="s">
        <v>159</v>
      </c>
      <c r="D66" t="s">
        <v>156</v>
      </c>
      <c r="E66" t="s">
        <v>152</v>
      </c>
      <c r="F66" t="s">
        <v>655</v>
      </c>
      <c r="G66" t="s">
        <v>482</v>
      </c>
      <c r="H66" t="s">
        <v>37</v>
      </c>
      <c r="I66" t="s">
        <v>37</v>
      </c>
      <c r="J66" t="s">
        <v>37</v>
      </c>
    </row>
    <row r="67" spans="1:10" x14ac:dyDescent="0.25">
      <c r="A67" t="s">
        <v>463</v>
      </c>
      <c r="B67" t="s">
        <v>186</v>
      </c>
      <c r="C67" t="s">
        <v>168</v>
      </c>
      <c r="D67" t="s">
        <v>168</v>
      </c>
      <c r="E67" t="s">
        <v>152</v>
      </c>
      <c r="F67" t="s">
        <v>187</v>
      </c>
      <c r="G67" t="s">
        <v>627</v>
      </c>
      <c r="H67" t="s">
        <v>37</v>
      </c>
      <c r="I67" t="s">
        <v>51</v>
      </c>
      <c r="J67" t="s">
        <v>656</v>
      </c>
    </row>
    <row r="68" spans="1:10" x14ac:dyDescent="0.25">
      <c r="A68" t="s">
        <v>464</v>
      </c>
      <c r="B68" t="s">
        <v>657</v>
      </c>
      <c r="C68" t="s">
        <v>159</v>
      </c>
      <c r="D68" t="s">
        <v>156</v>
      </c>
      <c r="E68" t="s">
        <v>152</v>
      </c>
      <c r="F68" t="s">
        <v>658</v>
      </c>
      <c r="G68" t="s">
        <v>626</v>
      </c>
      <c r="H68" t="s">
        <v>37</v>
      </c>
      <c r="I68" t="s">
        <v>51</v>
      </c>
      <c r="J68" t="s">
        <v>37</v>
      </c>
    </row>
    <row r="69" spans="1:10" x14ac:dyDescent="0.25">
      <c r="A69" t="s">
        <v>465</v>
      </c>
      <c r="B69" t="s">
        <v>188</v>
      </c>
      <c r="C69" t="s">
        <v>189</v>
      </c>
      <c r="D69" t="s">
        <v>156</v>
      </c>
      <c r="E69" t="s">
        <v>152</v>
      </c>
      <c r="F69" t="s">
        <v>190</v>
      </c>
      <c r="G69" t="s">
        <v>625</v>
      </c>
      <c r="H69" t="s">
        <v>37</v>
      </c>
      <c r="I69" t="s">
        <v>80</v>
      </c>
      <c r="J69" t="s">
        <v>659</v>
      </c>
    </row>
    <row r="70" spans="1:10" x14ac:dyDescent="0.25">
      <c r="A70" t="s">
        <v>466</v>
      </c>
      <c r="B70" t="s">
        <v>191</v>
      </c>
      <c r="C70" t="s">
        <v>151</v>
      </c>
      <c r="D70" t="s">
        <v>151</v>
      </c>
      <c r="E70" t="s">
        <v>152</v>
      </c>
      <c r="F70" t="s">
        <v>192</v>
      </c>
      <c r="G70" t="s">
        <v>624</v>
      </c>
      <c r="H70" t="s">
        <v>37</v>
      </c>
      <c r="I70" t="s">
        <v>51</v>
      </c>
      <c r="J70" t="s">
        <v>37</v>
      </c>
    </row>
    <row r="71" spans="1:10" x14ac:dyDescent="0.25">
      <c r="A71" t="s">
        <v>467</v>
      </c>
      <c r="B71" t="s">
        <v>193</v>
      </c>
      <c r="C71" t="s">
        <v>194</v>
      </c>
      <c r="D71" t="s">
        <v>156</v>
      </c>
      <c r="E71" t="s">
        <v>152</v>
      </c>
      <c r="F71" t="s">
        <v>195</v>
      </c>
      <c r="G71" t="s">
        <v>622</v>
      </c>
      <c r="H71" t="s">
        <v>37</v>
      </c>
      <c r="I71" t="s">
        <v>51</v>
      </c>
      <c r="J71" t="s">
        <v>660</v>
      </c>
    </row>
    <row r="72" spans="1:10" x14ac:dyDescent="0.25">
      <c r="A72" t="s">
        <v>468</v>
      </c>
      <c r="B72" t="s">
        <v>83</v>
      </c>
      <c r="C72" t="s">
        <v>196</v>
      </c>
      <c r="D72" t="s">
        <v>649</v>
      </c>
      <c r="E72" t="s">
        <v>152</v>
      </c>
      <c r="F72" t="s">
        <v>661</v>
      </c>
      <c r="G72" t="s">
        <v>473</v>
      </c>
      <c r="H72" t="s">
        <v>37</v>
      </c>
      <c r="I72" t="s">
        <v>51</v>
      </c>
      <c r="J72" t="s">
        <v>662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E1B37-410A-4DC5-A97B-98E537B447D4}">
  <sheetPr codeName="Arkusz4"/>
  <dimension ref="A1:J90"/>
  <sheetViews>
    <sheetView workbookViewId="0">
      <selection activeCell="G2" sqref="G2:G92"/>
    </sheetView>
  </sheetViews>
  <sheetFormatPr defaultRowHeight="15" x14ac:dyDescent="0.25"/>
  <cols>
    <col min="1" max="1" width="11.140625" bestFit="1" customWidth="1"/>
    <col min="2" max="2" width="23.28515625" bestFit="1" customWidth="1"/>
    <col min="3" max="3" width="22.7109375" bestFit="1" customWidth="1"/>
    <col min="4" max="4" width="29.85546875" bestFit="1" customWidth="1"/>
    <col min="5" max="5" width="20.7109375" bestFit="1" customWidth="1"/>
    <col min="6" max="9" width="11.140625" bestFit="1" customWidth="1"/>
    <col min="10" max="10" width="12.140625" bestFit="1" customWidth="1"/>
  </cols>
  <sheetData>
    <row r="1" spans="1:10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</row>
    <row r="2" spans="1:10" x14ac:dyDescent="0.25">
      <c r="A2" t="s">
        <v>469</v>
      </c>
      <c r="B2" t="s">
        <v>197</v>
      </c>
      <c r="C2" t="s">
        <v>151</v>
      </c>
      <c r="D2" t="s">
        <v>151</v>
      </c>
      <c r="E2" t="s">
        <v>152</v>
      </c>
      <c r="F2">
        <v>347</v>
      </c>
      <c r="G2" t="s">
        <v>619</v>
      </c>
      <c r="H2" t="s">
        <v>37</v>
      </c>
      <c r="I2">
        <v>5</v>
      </c>
    </row>
    <row r="3" spans="1:10" x14ac:dyDescent="0.25">
      <c r="A3" t="s">
        <v>470</v>
      </c>
      <c r="B3" t="s">
        <v>198</v>
      </c>
      <c r="C3" t="s">
        <v>151</v>
      </c>
      <c r="D3" t="s">
        <v>151</v>
      </c>
      <c r="E3" t="s">
        <v>152</v>
      </c>
      <c r="F3">
        <v>512</v>
      </c>
      <c r="G3" t="s">
        <v>618</v>
      </c>
      <c r="H3" t="s">
        <v>37</v>
      </c>
    </row>
    <row r="4" spans="1:10" x14ac:dyDescent="0.25">
      <c r="A4" t="s">
        <v>471</v>
      </c>
      <c r="B4" t="s">
        <v>199</v>
      </c>
      <c r="C4" t="s">
        <v>200</v>
      </c>
      <c r="D4" t="s">
        <v>156</v>
      </c>
      <c r="E4" t="s">
        <v>152</v>
      </c>
      <c r="F4">
        <v>822</v>
      </c>
      <c r="G4" t="s">
        <v>616</v>
      </c>
      <c r="H4" t="s">
        <v>37</v>
      </c>
      <c r="I4">
        <v>5</v>
      </c>
      <c r="J4">
        <v>49</v>
      </c>
    </row>
    <row r="5" spans="1:10" x14ac:dyDescent="0.25">
      <c r="A5" t="s">
        <v>472</v>
      </c>
      <c r="B5" t="s">
        <v>201</v>
      </c>
      <c r="C5" t="s">
        <v>202</v>
      </c>
      <c r="D5" t="s">
        <v>203</v>
      </c>
      <c r="E5" t="s">
        <v>152</v>
      </c>
      <c r="F5">
        <v>519</v>
      </c>
      <c r="G5" t="s">
        <v>614</v>
      </c>
      <c r="H5" t="s">
        <v>572</v>
      </c>
      <c r="I5">
        <v>5</v>
      </c>
    </row>
    <row r="6" spans="1:10" x14ac:dyDescent="0.25">
      <c r="A6" t="s">
        <v>486</v>
      </c>
      <c r="B6" t="s">
        <v>204</v>
      </c>
      <c r="C6" t="s">
        <v>159</v>
      </c>
      <c r="D6" t="s">
        <v>156</v>
      </c>
      <c r="E6" t="s">
        <v>152</v>
      </c>
      <c r="F6">
        <v>852</v>
      </c>
      <c r="G6" t="s">
        <v>613</v>
      </c>
      <c r="H6" t="s">
        <v>37</v>
      </c>
      <c r="I6">
        <v>5</v>
      </c>
      <c r="J6">
        <v>43</v>
      </c>
    </row>
    <row r="7" spans="1:10" x14ac:dyDescent="0.25">
      <c r="A7" t="s">
        <v>487</v>
      </c>
      <c r="B7" t="s">
        <v>205</v>
      </c>
      <c r="C7" t="s">
        <v>206</v>
      </c>
      <c r="D7" t="s">
        <v>207</v>
      </c>
      <c r="E7" t="s">
        <v>152</v>
      </c>
      <c r="F7">
        <v>697</v>
      </c>
      <c r="G7" t="s">
        <v>612</v>
      </c>
      <c r="H7" t="s">
        <v>37</v>
      </c>
      <c r="I7">
        <v>5</v>
      </c>
      <c r="J7">
        <v>42</v>
      </c>
    </row>
    <row r="8" spans="1:10" x14ac:dyDescent="0.25">
      <c r="A8" t="s">
        <v>488</v>
      </c>
      <c r="B8" t="s">
        <v>208</v>
      </c>
      <c r="C8" t="s">
        <v>162</v>
      </c>
      <c r="D8" t="s">
        <v>162</v>
      </c>
      <c r="E8" t="s">
        <v>152</v>
      </c>
      <c r="F8">
        <v>655</v>
      </c>
      <c r="G8" t="s">
        <v>611</v>
      </c>
      <c r="H8" t="s">
        <v>37</v>
      </c>
      <c r="I8">
        <v>5</v>
      </c>
    </row>
    <row r="9" spans="1:10" x14ac:dyDescent="0.25">
      <c r="A9" t="s">
        <v>489</v>
      </c>
      <c r="B9" t="s">
        <v>210</v>
      </c>
      <c r="C9" t="s">
        <v>91</v>
      </c>
      <c r="D9" t="s">
        <v>97</v>
      </c>
      <c r="E9" t="s">
        <v>209</v>
      </c>
      <c r="F9">
        <v>123</v>
      </c>
      <c r="G9" t="s">
        <v>610</v>
      </c>
      <c r="H9" t="s">
        <v>37</v>
      </c>
      <c r="I9">
        <v>5</v>
      </c>
    </row>
    <row r="10" spans="1:10" x14ac:dyDescent="0.25">
      <c r="A10" t="s">
        <v>490</v>
      </c>
      <c r="B10" t="s">
        <v>211</v>
      </c>
      <c r="C10" t="s">
        <v>212</v>
      </c>
      <c r="D10" t="s">
        <v>212</v>
      </c>
      <c r="E10" t="s">
        <v>209</v>
      </c>
      <c r="F10">
        <v>147</v>
      </c>
      <c r="G10" t="s">
        <v>607</v>
      </c>
      <c r="H10" t="s">
        <v>37</v>
      </c>
    </row>
    <row r="11" spans="1:10" x14ac:dyDescent="0.25">
      <c r="A11" t="s">
        <v>491</v>
      </c>
      <c r="B11" t="s">
        <v>213</v>
      </c>
      <c r="C11" t="s">
        <v>91</v>
      </c>
      <c r="D11" t="s">
        <v>663</v>
      </c>
      <c r="E11" t="s">
        <v>209</v>
      </c>
      <c r="F11">
        <v>106</v>
      </c>
      <c r="G11" t="s">
        <v>606</v>
      </c>
      <c r="H11" t="s">
        <v>37</v>
      </c>
    </row>
    <row r="12" spans="1:10" x14ac:dyDescent="0.25">
      <c r="A12" t="s">
        <v>492</v>
      </c>
      <c r="B12" t="s">
        <v>214</v>
      </c>
      <c r="C12" t="s">
        <v>215</v>
      </c>
      <c r="D12" t="s">
        <v>215</v>
      </c>
      <c r="E12" t="s">
        <v>209</v>
      </c>
      <c r="F12">
        <v>152</v>
      </c>
      <c r="G12" t="s">
        <v>476</v>
      </c>
      <c r="H12" t="s">
        <v>37</v>
      </c>
      <c r="I12">
        <v>5</v>
      </c>
    </row>
    <row r="13" spans="1:10" x14ac:dyDescent="0.25">
      <c r="A13" t="s">
        <v>493</v>
      </c>
      <c r="B13" t="s">
        <v>664</v>
      </c>
      <c r="C13" t="s">
        <v>91</v>
      </c>
      <c r="D13" t="s">
        <v>97</v>
      </c>
      <c r="E13" t="s">
        <v>209</v>
      </c>
      <c r="F13">
        <v>107</v>
      </c>
      <c r="G13" t="s">
        <v>604</v>
      </c>
      <c r="H13" t="s">
        <v>37</v>
      </c>
    </row>
    <row r="14" spans="1:10" x14ac:dyDescent="0.25">
      <c r="A14" t="s">
        <v>494</v>
      </c>
      <c r="B14" t="s">
        <v>216</v>
      </c>
      <c r="C14" t="s">
        <v>217</v>
      </c>
      <c r="D14" t="s">
        <v>218</v>
      </c>
      <c r="E14" t="s">
        <v>219</v>
      </c>
      <c r="F14">
        <v>290</v>
      </c>
      <c r="G14" t="s">
        <v>602</v>
      </c>
      <c r="H14" t="s">
        <v>37</v>
      </c>
    </row>
    <row r="15" spans="1:10" x14ac:dyDescent="0.25">
      <c r="A15" t="s">
        <v>495</v>
      </c>
      <c r="B15" t="s">
        <v>220</v>
      </c>
      <c r="C15" t="s">
        <v>665</v>
      </c>
      <c r="D15" t="s">
        <v>40</v>
      </c>
      <c r="E15" t="s">
        <v>219</v>
      </c>
      <c r="F15">
        <v>350</v>
      </c>
      <c r="G15" t="s">
        <v>600</v>
      </c>
      <c r="H15" t="s">
        <v>37</v>
      </c>
      <c r="I15">
        <v>5</v>
      </c>
    </row>
    <row r="16" spans="1:10" x14ac:dyDescent="0.25">
      <c r="A16" t="s">
        <v>496</v>
      </c>
      <c r="B16" t="s">
        <v>221</v>
      </c>
      <c r="C16" t="s">
        <v>222</v>
      </c>
      <c r="D16" t="s">
        <v>666</v>
      </c>
      <c r="E16" t="s">
        <v>219</v>
      </c>
      <c r="F16">
        <v>350</v>
      </c>
      <c r="G16" t="s">
        <v>574</v>
      </c>
      <c r="H16" t="s">
        <v>37</v>
      </c>
      <c r="I16">
        <v>5</v>
      </c>
    </row>
    <row r="17" spans="1:10" x14ac:dyDescent="0.25">
      <c r="A17" t="s">
        <v>497</v>
      </c>
      <c r="B17" t="s">
        <v>223</v>
      </c>
      <c r="C17" t="s">
        <v>48</v>
      </c>
      <c r="D17" t="s">
        <v>48</v>
      </c>
      <c r="E17" t="s">
        <v>219</v>
      </c>
      <c r="F17">
        <v>155</v>
      </c>
      <c r="G17" t="s">
        <v>576</v>
      </c>
      <c r="H17" t="s">
        <v>37</v>
      </c>
    </row>
    <row r="18" spans="1:10" x14ac:dyDescent="0.25">
      <c r="A18" t="s">
        <v>498</v>
      </c>
      <c r="B18" t="s">
        <v>224</v>
      </c>
      <c r="C18" t="s">
        <v>85</v>
      </c>
      <c r="D18" t="s">
        <v>666</v>
      </c>
      <c r="E18" t="s">
        <v>219</v>
      </c>
      <c r="F18">
        <v>165</v>
      </c>
      <c r="G18" t="s">
        <v>485</v>
      </c>
      <c r="H18" t="s">
        <v>37</v>
      </c>
    </row>
    <row r="19" spans="1:10" x14ac:dyDescent="0.25">
      <c r="A19" t="s">
        <v>499</v>
      </c>
      <c r="B19" t="s">
        <v>667</v>
      </c>
      <c r="C19" t="s">
        <v>40</v>
      </c>
      <c r="D19" t="s">
        <v>40</v>
      </c>
      <c r="E19" t="s">
        <v>219</v>
      </c>
      <c r="F19">
        <v>210</v>
      </c>
      <c r="G19" t="s">
        <v>577</v>
      </c>
      <c r="H19" t="s">
        <v>37</v>
      </c>
    </row>
    <row r="20" spans="1:10" x14ac:dyDescent="0.25">
      <c r="A20" t="s">
        <v>500</v>
      </c>
      <c r="B20" t="s">
        <v>225</v>
      </c>
      <c r="C20" t="s">
        <v>226</v>
      </c>
      <c r="D20" t="s">
        <v>226</v>
      </c>
      <c r="E20" t="s">
        <v>219</v>
      </c>
      <c r="F20">
        <v>230</v>
      </c>
      <c r="G20" t="s">
        <v>593</v>
      </c>
      <c r="H20" t="s">
        <v>37</v>
      </c>
    </row>
    <row r="21" spans="1:10" x14ac:dyDescent="0.25">
      <c r="A21" t="s">
        <v>501</v>
      </c>
      <c r="B21" t="s">
        <v>227</v>
      </c>
      <c r="C21" t="s">
        <v>228</v>
      </c>
      <c r="D21" t="s">
        <v>229</v>
      </c>
      <c r="E21" t="s">
        <v>230</v>
      </c>
      <c r="F21">
        <v>431</v>
      </c>
      <c r="G21" t="s">
        <v>571</v>
      </c>
      <c r="H21" t="s">
        <v>37</v>
      </c>
      <c r="I21">
        <v>5</v>
      </c>
      <c r="J21">
        <v>22</v>
      </c>
    </row>
    <row r="22" spans="1:10" x14ac:dyDescent="0.25">
      <c r="A22" t="s">
        <v>502</v>
      </c>
      <c r="B22" t="s">
        <v>232</v>
      </c>
      <c r="C22" t="s">
        <v>233</v>
      </c>
      <c r="D22" t="s">
        <v>233</v>
      </c>
      <c r="E22" t="s">
        <v>230</v>
      </c>
      <c r="F22">
        <v>217</v>
      </c>
      <c r="G22" t="s">
        <v>575</v>
      </c>
      <c r="H22" t="s">
        <v>37</v>
      </c>
      <c r="I22">
        <v>5</v>
      </c>
      <c r="J22">
        <v>17</v>
      </c>
    </row>
    <row r="23" spans="1:10" x14ac:dyDescent="0.25">
      <c r="A23" t="s">
        <v>503</v>
      </c>
      <c r="B23" t="s">
        <v>234</v>
      </c>
      <c r="C23" t="s">
        <v>228</v>
      </c>
      <c r="D23" t="s">
        <v>229</v>
      </c>
      <c r="E23" t="s">
        <v>230</v>
      </c>
      <c r="F23">
        <v>549</v>
      </c>
      <c r="G23" t="s">
        <v>483</v>
      </c>
      <c r="H23" t="s">
        <v>475</v>
      </c>
      <c r="I23">
        <v>5</v>
      </c>
    </row>
    <row r="24" spans="1:10" x14ac:dyDescent="0.25">
      <c r="A24" t="s">
        <v>504</v>
      </c>
      <c r="B24" t="s">
        <v>668</v>
      </c>
      <c r="C24" t="s">
        <v>243</v>
      </c>
      <c r="D24" t="s">
        <v>229</v>
      </c>
      <c r="E24" t="s">
        <v>230</v>
      </c>
      <c r="F24">
        <v>543</v>
      </c>
      <c r="G24" t="s">
        <v>479</v>
      </c>
      <c r="H24" t="s">
        <v>37</v>
      </c>
    </row>
    <row r="25" spans="1:10" x14ac:dyDescent="0.25">
      <c r="A25" t="s">
        <v>505</v>
      </c>
      <c r="B25" t="s">
        <v>235</v>
      </c>
      <c r="C25" t="s">
        <v>236</v>
      </c>
      <c r="D25" t="s">
        <v>203</v>
      </c>
      <c r="E25" t="s">
        <v>230</v>
      </c>
      <c r="F25">
        <v>250</v>
      </c>
      <c r="G25" t="s">
        <v>477</v>
      </c>
      <c r="H25" t="s">
        <v>37</v>
      </c>
      <c r="I25">
        <v>5</v>
      </c>
      <c r="J25">
        <v>22</v>
      </c>
    </row>
    <row r="26" spans="1:10" x14ac:dyDescent="0.25">
      <c r="A26" t="s">
        <v>506</v>
      </c>
      <c r="B26" t="s">
        <v>237</v>
      </c>
      <c r="C26" t="s">
        <v>238</v>
      </c>
      <c r="D26" t="s">
        <v>238</v>
      </c>
      <c r="E26" t="s">
        <v>230</v>
      </c>
      <c r="F26">
        <v>478</v>
      </c>
      <c r="G26" t="s">
        <v>484</v>
      </c>
      <c r="H26" t="s">
        <v>37</v>
      </c>
      <c r="I26">
        <v>5</v>
      </c>
      <c r="J26">
        <v>37</v>
      </c>
    </row>
    <row r="27" spans="1:10" x14ac:dyDescent="0.25">
      <c r="A27" t="s">
        <v>507</v>
      </c>
      <c r="B27" t="s">
        <v>239</v>
      </c>
      <c r="C27" t="s">
        <v>203</v>
      </c>
      <c r="D27" t="s">
        <v>203</v>
      </c>
      <c r="E27" t="s">
        <v>230</v>
      </c>
      <c r="F27">
        <v>380</v>
      </c>
      <c r="G27" t="s">
        <v>480</v>
      </c>
      <c r="H27" t="s">
        <v>37</v>
      </c>
      <c r="I27">
        <v>5</v>
      </c>
      <c r="J27">
        <v>34</v>
      </c>
    </row>
    <row r="28" spans="1:10" x14ac:dyDescent="0.25">
      <c r="A28" t="s">
        <v>508</v>
      </c>
      <c r="B28" t="s">
        <v>240</v>
      </c>
      <c r="C28" t="s">
        <v>241</v>
      </c>
      <c r="D28" t="s">
        <v>241</v>
      </c>
      <c r="E28" t="s">
        <v>230</v>
      </c>
      <c r="F28">
        <v>329</v>
      </c>
      <c r="G28" t="s">
        <v>478</v>
      </c>
      <c r="H28" t="s">
        <v>37</v>
      </c>
      <c r="I28">
        <v>5</v>
      </c>
      <c r="J28">
        <v>24</v>
      </c>
    </row>
    <row r="29" spans="1:10" x14ac:dyDescent="0.25">
      <c r="A29" t="s">
        <v>509</v>
      </c>
      <c r="B29" t="s">
        <v>242</v>
      </c>
      <c r="C29" t="s">
        <v>243</v>
      </c>
      <c r="D29" t="s">
        <v>229</v>
      </c>
      <c r="E29" t="s">
        <v>230</v>
      </c>
      <c r="F29">
        <v>420</v>
      </c>
      <c r="G29" t="s">
        <v>573</v>
      </c>
      <c r="H29" t="s">
        <v>37</v>
      </c>
      <c r="I29">
        <v>5</v>
      </c>
      <c r="J29">
        <v>20</v>
      </c>
    </row>
    <row r="30" spans="1:10" x14ac:dyDescent="0.25">
      <c r="A30" t="s">
        <v>510</v>
      </c>
      <c r="B30" t="s">
        <v>244</v>
      </c>
      <c r="C30" t="s">
        <v>245</v>
      </c>
      <c r="D30" t="s">
        <v>241</v>
      </c>
      <c r="E30" t="s">
        <v>230</v>
      </c>
      <c r="F30">
        <v>405</v>
      </c>
      <c r="G30" t="s">
        <v>481</v>
      </c>
      <c r="H30" t="s">
        <v>37</v>
      </c>
      <c r="I30">
        <v>5</v>
      </c>
      <c r="J30">
        <v>20</v>
      </c>
    </row>
    <row r="31" spans="1:10" x14ac:dyDescent="0.25">
      <c r="A31" t="s">
        <v>511</v>
      </c>
      <c r="B31" t="s">
        <v>246</v>
      </c>
      <c r="C31" t="s">
        <v>241</v>
      </c>
      <c r="D31" t="s">
        <v>241</v>
      </c>
      <c r="E31" t="s">
        <v>230</v>
      </c>
      <c r="F31">
        <v>395</v>
      </c>
      <c r="G31" t="s">
        <v>474</v>
      </c>
      <c r="H31" t="s">
        <v>37</v>
      </c>
      <c r="I31">
        <v>5</v>
      </c>
      <c r="J31">
        <v>22</v>
      </c>
    </row>
    <row r="32" spans="1:10" x14ac:dyDescent="0.25">
      <c r="A32" t="s">
        <v>512</v>
      </c>
      <c r="B32" t="s">
        <v>247</v>
      </c>
      <c r="C32" t="s">
        <v>241</v>
      </c>
      <c r="D32" t="s">
        <v>241</v>
      </c>
      <c r="E32" t="s">
        <v>230</v>
      </c>
      <c r="F32">
        <v>206</v>
      </c>
      <c r="G32" t="s">
        <v>572</v>
      </c>
      <c r="H32" t="s">
        <v>37</v>
      </c>
      <c r="I32">
        <v>5</v>
      </c>
    </row>
    <row r="33" spans="1:10" x14ac:dyDescent="0.25">
      <c r="A33" t="s">
        <v>513</v>
      </c>
      <c r="B33" t="s">
        <v>248</v>
      </c>
      <c r="C33" t="s">
        <v>243</v>
      </c>
      <c r="D33" t="s">
        <v>229</v>
      </c>
      <c r="E33" t="s">
        <v>230</v>
      </c>
      <c r="F33">
        <v>459</v>
      </c>
      <c r="G33" t="s">
        <v>475</v>
      </c>
      <c r="H33" t="s">
        <v>37</v>
      </c>
      <c r="I33">
        <v>5</v>
      </c>
      <c r="J33">
        <v>27</v>
      </c>
    </row>
    <row r="34" spans="1:10" x14ac:dyDescent="0.25">
      <c r="A34" t="s">
        <v>514</v>
      </c>
      <c r="B34" t="s">
        <v>249</v>
      </c>
      <c r="C34" t="s">
        <v>241</v>
      </c>
      <c r="D34" t="s">
        <v>241</v>
      </c>
      <c r="E34" t="s">
        <v>230</v>
      </c>
      <c r="F34">
        <v>520</v>
      </c>
      <c r="G34" t="s">
        <v>669</v>
      </c>
      <c r="H34" t="s">
        <v>37</v>
      </c>
      <c r="I34">
        <v>5</v>
      </c>
      <c r="J34">
        <v>46</v>
      </c>
    </row>
    <row r="35" spans="1:10" x14ac:dyDescent="0.25">
      <c r="A35" t="s">
        <v>515</v>
      </c>
      <c r="B35" t="s">
        <v>250</v>
      </c>
      <c r="C35" t="s">
        <v>241</v>
      </c>
      <c r="D35" t="s">
        <v>241</v>
      </c>
      <c r="E35" t="s">
        <v>230</v>
      </c>
      <c r="F35">
        <v>540</v>
      </c>
      <c r="G35" t="s">
        <v>475</v>
      </c>
      <c r="H35" t="s">
        <v>475</v>
      </c>
      <c r="I35">
        <v>5</v>
      </c>
      <c r="J35">
        <v>25</v>
      </c>
    </row>
    <row r="36" spans="1:10" x14ac:dyDescent="0.25">
      <c r="A36" t="s">
        <v>516</v>
      </c>
      <c r="B36" t="s">
        <v>251</v>
      </c>
      <c r="C36" t="s">
        <v>236</v>
      </c>
      <c r="D36" t="s">
        <v>203</v>
      </c>
      <c r="E36" t="s">
        <v>230</v>
      </c>
      <c r="F36">
        <v>320</v>
      </c>
      <c r="G36" t="s">
        <v>572</v>
      </c>
      <c r="H36" t="s">
        <v>37</v>
      </c>
      <c r="I36">
        <v>5</v>
      </c>
      <c r="J36">
        <v>29</v>
      </c>
    </row>
    <row r="37" spans="1:10" x14ac:dyDescent="0.25">
      <c r="A37" t="s">
        <v>517</v>
      </c>
      <c r="B37" t="s">
        <v>252</v>
      </c>
      <c r="C37" t="s">
        <v>243</v>
      </c>
      <c r="D37" t="s">
        <v>229</v>
      </c>
      <c r="E37" t="s">
        <v>230</v>
      </c>
      <c r="F37">
        <v>623</v>
      </c>
      <c r="G37" t="s">
        <v>474</v>
      </c>
      <c r="H37" t="s">
        <v>475</v>
      </c>
      <c r="I37">
        <v>5</v>
      </c>
      <c r="J37">
        <v>55</v>
      </c>
    </row>
    <row r="38" spans="1:10" x14ac:dyDescent="0.25">
      <c r="A38" t="s">
        <v>518</v>
      </c>
      <c r="B38" t="s">
        <v>253</v>
      </c>
      <c r="C38" t="s">
        <v>254</v>
      </c>
      <c r="D38" t="s">
        <v>255</v>
      </c>
      <c r="E38" t="s">
        <v>256</v>
      </c>
      <c r="F38">
        <v>163</v>
      </c>
      <c r="G38" t="s">
        <v>481</v>
      </c>
      <c r="H38" t="s">
        <v>37</v>
      </c>
      <c r="J38">
        <v>14</v>
      </c>
    </row>
    <row r="39" spans="1:10" x14ac:dyDescent="0.25">
      <c r="A39" t="s">
        <v>519</v>
      </c>
      <c r="B39" t="s">
        <v>257</v>
      </c>
      <c r="C39" t="s">
        <v>258</v>
      </c>
      <c r="D39" t="s">
        <v>259</v>
      </c>
      <c r="E39" t="s">
        <v>256</v>
      </c>
      <c r="F39">
        <v>148</v>
      </c>
      <c r="G39" t="s">
        <v>573</v>
      </c>
      <c r="H39" t="s">
        <v>37</v>
      </c>
      <c r="I39">
        <v>5</v>
      </c>
      <c r="J39">
        <v>20</v>
      </c>
    </row>
    <row r="40" spans="1:10" x14ac:dyDescent="0.25">
      <c r="A40" t="s">
        <v>520</v>
      </c>
      <c r="B40" t="s">
        <v>260</v>
      </c>
      <c r="C40" t="s">
        <v>261</v>
      </c>
      <c r="D40" t="s">
        <v>262</v>
      </c>
      <c r="E40" t="s">
        <v>256</v>
      </c>
      <c r="F40">
        <v>138</v>
      </c>
      <c r="G40" t="s">
        <v>478</v>
      </c>
      <c r="H40" t="s">
        <v>37</v>
      </c>
    </row>
    <row r="41" spans="1:10" x14ac:dyDescent="0.25">
      <c r="A41" t="s">
        <v>521</v>
      </c>
      <c r="B41" t="s">
        <v>263</v>
      </c>
      <c r="C41" t="s">
        <v>264</v>
      </c>
      <c r="D41" t="s">
        <v>264</v>
      </c>
      <c r="E41" t="s">
        <v>256</v>
      </c>
      <c r="F41">
        <v>184</v>
      </c>
      <c r="G41" t="s">
        <v>480</v>
      </c>
      <c r="H41" t="s">
        <v>37</v>
      </c>
      <c r="I41">
        <v>5</v>
      </c>
      <c r="J41">
        <v>23</v>
      </c>
    </row>
    <row r="42" spans="1:10" x14ac:dyDescent="0.25">
      <c r="A42" t="s">
        <v>522</v>
      </c>
      <c r="B42" t="s">
        <v>265</v>
      </c>
      <c r="C42" t="s">
        <v>266</v>
      </c>
      <c r="D42" t="s">
        <v>266</v>
      </c>
      <c r="E42" t="s">
        <v>267</v>
      </c>
      <c r="F42">
        <v>164</v>
      </c>
      <c r="G42" t="s">
        <v>484</v>
      </c>
      <c r="H42" t="s">
        <v>37</v>
      </c>
      <c r="I42">
        <v>5</v>
      </c>
    </row>
    <row r="43" spans="1:10" x14ac:dyDescent="0.25">
      <c r="A43" t="s">
        <v>523</v>
      </c>
      <c r="B43" t="s">
        <v>268</v>
      </c>
      <c r="C43" t="s">
        <v>91</v>
      </c>
      <c r="D43" t="s">
        <v>670</v>
      </c>
      <c r="E43" t="s">
        <v>267</v>
      </c>
      <c r="F43">
        <v>7</v>
      </c>
      <c r="G43" t="s">
        <v>477</v>
      </c>
      <c r="H43" t="s">
        <v>37</v>
      </c>
      <c r="I43">
        <v>5</v>
      </c>
    </row>
    <row r="44" spans="1:10" x14ac:dyDescent="0.25">
      <c r="A44" t="s">
        <v>524</v>
      </c>
      <c r="B44" t="s">
        <v>269</v>
      </c>
      <c r="C44" t="s">
        <v>270</v>
      </c>
      <c r="D44" t="s">
        <v>671</v>
      </c>
      <c r="E44" t="s">
        <v>267</v>
      </c>
      <c r="F44">
        <v>1</v>
      </c>
      <c r="G44" t="s">
        <v>479</v>
      </c>
      <c r="H44" t="s">
        <v>37</v>
      </c>
    </row>
    <row r="45" spans="1:10" x14ac:dyDescent="0.25">
      <c r="A45" t="s">
        <v>525</v>
      </c>
      <c r="B45" t="s">
        <v>271</v>
      </c>
      <c r="C45" t="s">
        <v>272</v>
      </c>
      <c r="D45" t="s">
        <v>272</v>
      </c>
      <c r="E45" t="s">
        <v>267</v>
      </c>
      <c r="F45">
        <v>2</v>
      </c>
      <c r="G45" t="s">
        <v>483</v>
      </c>
      <c r="H45" t="s">
        <v>37</v>
      </c>
      <c r="I45">
        <v>5</v>
      </c>
    </row>
    <row r="46" spans="1:10" x14ac:dyDescent="0.25">
      <c r="A46" t="s">
        <v>526</v>
      </c>
      <c r="B46" t="s">
        <v>273</v>
      </c>
      <c r="C46" t="s">
        <v>274</v>
      </c>
      <c r="D46" t="s">
        <v>274</v>
      </c>
      <c r="E46" t="s">
        <v>267</v>
      </c>
      <c r="F46">
        <v>160</v>
      </c>
      <c r="G46" t="s">
        <v>575</v>
      </c>
      <c r="H46" t="s">
        <v>37</v>
      </c>
      <c r="I46">
        <v>5</v>
      </c>
    </row>
    <row r="47" spans="1:10" x14ac:dyDescent="0.25">
      <c r="A47" t="s">
        <v>527</v>
      </c>
      <c r="B47" t="s">
        <v>275</v>
      </c>
      <c r="C47" t="s">
        <v>270</v>
      </c>
      <c r="D47" t="s">
        <v>274</v>
      </c>
      <c r="E47" t="s">
        <v>267</v>
      </c>
      <c r="F47">
        <v>3</v>
      </c>
      <c r="G47" t="s">
        <v>571</v>
      </c>
      <c r="H47" t="s">
        <v>37</v>
      </c>
    </row>
    <row r="48" spans="1:10" x14ac:dyDescent="0.25">
      <c r="A48" t="s">
        <v>528</v>
      </c>
      <c r="B48" t="s">
        <v>276</v>
      </c>
      <c r="C48" t="s">
        <v>277</v>
      </c>
      <c r="D48" t="s">
        <v>672</v>
      </c>
      <c r="E48" t="s">
        <v>278</v>
      </c>
      <c r="F48">
        <v>396</v>
      </c>
      <c r="G48" t="s">
        <v>593</v>
      </c>
      <c r="H48" t="s">
        <v>37</v>
      </c>
      <c r="I48">
        <v>5</v>
      </c>
    </row>
    <row r="49" spans="1:9" x14ac:dyDescent="0.25">
      <c r="A49" t="s">
        <v>529</v>
      </c>
      <c r="B49" t="s">
        <v>279</v>
      </c>
      <c r="C49" t="s">
        <v>133</v>
      </c>
      <c r="D49" t="s">
        <v>133</v>
      </c>
      <c r="E49" t="s">
        <v>278</v>
      </c>
      <c r="F49">
        <v>260</v>
      </c>
      <c r="G49" t="s">
        <v>577</v>
      </c>
      <c r="H49" t="s">
        <v>37</v>
      </c>
      <c r="I49">
        <v>5</v>
      </c>
    </row>
    <row r="50" spans="1:9" x14ac:dyDescent="0.25">
      <c r="A50" t="s">
        <v>530</v>
      </c>
      <c r="B50" t="s">
        <v>280</v>
      </c>
      <c r="C50" t="s">
        <v>281</v>
      </c>
      <c r="D50" t="s">
        <v>672</v>
      </c>
      <c r="E50" t="s">
        <v>278</v>
      </c>
      <c r="F50">
        <v>350</v>
      </c>
      <c r="G50" t="s">
        <v>485</v>
      </c>
      <c r="H50" t="s">
        <v>37</v>
      </c>
      <c r="I50">
        <v>5</v>
      </c>
    </row>
    <row r="51" spans="1:9" x14ac:dyDescent="0.25">
      <c r="A51" t="s">
        <v>531</v>
      </c>
      <c r="B51" t="s">
        <v>282</v>
      </c>
      <c r="C51" t="s">
        <v>283</v>
      </c>
      <c r="D51" t="s">
        <v>284</v>
      </c>
      <c r="E51" t="s">
        <v>278</v>
      </c>
      <c r="F51">
        <v>283</v>
      </c>
      <c r="G51" t="s">
        <v>576</v>
      </c>
      <c r="H51" t="s">
        <v>37</v>
      </c>
      <c r="I51">
        <v>5</v>
      </c>
    </row>
    <row r="52" spans="1:9" x14ac:dyDescent="0.25">
      <c r="A52" t="s">
        <v>532</v>
      </c>
      <c r="B52" t="s">
        <v>285</v>
      </c>
      <c r="C52" t="s">
        <v>286</v>
      </c>
      <c r="D52" t="s">
        <v>286</v>
      </c>
      <c r="E52" t="s">
        <v>278</v>
      </c>
      <c r="F52">
        <v>260</v>
      </c>
      <c r="G52" t="s">
        <v>574</v>
      </c>
      <c r="H52" t="s">
        <v>37</v>
      </c>
      <c r="I52">
        <v>5</v>
      </c>
    </row>
    <row r="53" spans="1:9" x14ac:dyDescent="0.25">
      <c r="A53" t="s">
        <v>533</v>
      </c>
      <c r="B53" t="s">
        <v>287</v>
      </c>
      <c r="C53" t="s">
        <v>118</v>
      </c>
      <c r="D53" t="s">
        <v>148</v>
      </c>
      <c r="E53" t="s">
        <v>278</v>
      </c>
      <c r="F53">
        <v>294</v>
      </c>
      <c r="G53" t="s">
        <v>600</v>
      </c>
      <c r="H53" t="s">
        <v>37</v>
      </c>
      <c r="I53">
        <v>5</v>
      </c>
    </row>
    <row r="54" spans="1:9" x14ac:dyDescent="0.25">
      <c r="A54" t="s">
        <v>534</v>
      </c>
      <c r="B54" t="s">
        <v>288</v>
      </c>
      <c r="C54" t="s">
        <v>289</v>
      </c>
      <c r="D54" t="s">
        <v>148</v>
      </c>
      <c r="E54" t="s">
        <v>278</v>
      </c>
      <c r="F54">
        <v>270</v>
      </c>
      <c r="G54" t="s">
        <v>602</v>
      </c>
      <c r="H54" t="s">
        <v>37</v>
      </c>
    </row>
    <row r="55" spans="1:9" x14ac:dyDescent="0.25">
      <c r="A55" t="s">
        <v>535</v>
      </c>
      <c r="B55" t="s">
        <v>290</v>
      </c>
      <c r="C55" t="s">
        <v>286</v>
      </c>
      <c r="D55" t="s">
        <v>286</v>
      </c>
      <c r="E55" t="s">
        <v>278</v>
      </c>
      <c r="F55">
        <v>538</v>
      </c>
      <c r="G55" t="s">
        <v>604</v>
      </c>
      <c r="H55" t="s">
        <v>37</v>
      </c>
      <c r="I55">
        <v>5</v>
      </c>
    </row>
    <row r="56" spans="1:9" x14ac:dyDescent="0.25">
      <c r="A56" t="s">
        <v>536</v>
      </c>
      <c r="B56" t="s">
        <v>291</v>
      </c>
      <c r="C56" t="s">
        <v>286</v>
      </c>
      <c r="D56" t="s">
        <v>286</v>
      </c>
      <c r="E56" t="s">
        <v>278</v>
      </c>
      <c r="F56">
        <v>735</v>
      </c>
      <c r="G56" t="s">
        <v>476</v>
      </c>
      <c r="H56" t="s">
        <v>37</v>
      </c>
      <c r="I56">
        <v>5</v>
      </c>
    </row>
    <row r="57" spans="1:9" x14ac:dyDescent="0.25">
      <c r="A57" t="s">
        <v>537</v>
      </c>
      <c r="B57" t="s">
        <v>292</v>
      </c>
      <c r="C57" t="s">
        <v>293</v>
      </c>
      <c r="D57" t="s">
        <v>294</v>
      </c>
      <c r="E57" t="s">
        <v>278</v>
      </c>
      <c r="F57">
        <v>470</v>
      </c>
      <c r="G57" t="s">
        <v>606</v>
      </c>
      <c r="H57" t="s">
        <v>37</v>
      </c>
      <c r="I57">
        <v>5</v>
      </c>
    </row>
    <row r="58" spans="1:9" x14ac:dyDescent="0.25">
      <c r="A58" t="s">
        <v>538</v>
      </c>
      <c r="B58" t="s">
        <v>295</v>
      </c>
      <c r="C58" t="s">
        <v>296</v>
      </c>
      <c r="D58" t="s">
        <v>284</v>
      </c>
      <c r="E58" t="s">
        <v>278</v>
      </c>
      <c r="F58">
        <v>278</v>
      </c>
      <c r="G58" t="s">
        <v>607</v>
      </c>
      <c r="H58" t="s">
        <v>37</v>
      </c>
    </row>
    <row r="59" spans="1:9" x14ac:dyDescent="0.25">
      <c r="A59" t="s">
        <v>539</v>
      </c>
      <c r="B59" t="s">
        <v>297</v>
      </c>
      <c r="C59" t="s">
        <v>294</v>
      </c>
      <c r="D59" t="s">
        <v>294</v>
      </c>
      <c r="E59" t="s">
        <v>278</v>
      </c>
      <c r="F59">
        <v>650</v>
      </c>
      <c r="G59" t="s">
        <v>610</v>
      </c>
      <c r="H59" t="s">
        <v>37</v>
      </c>
      <c r="I59">
        <v>5</v>
      </c>
    </row>
    <row r="60" spans="1:9" x14ac:dyDescent="0.25">
      <c r="A60" t="s">
        <v>540</v>
      </c>
      <c r="B60" t="s">
        <v>298</v>
      </c>
      <c r="C60" t="s">
        <v>294</v>
      </c>
      <c r="D60" t="s">
        <v>294</v>
      </c>
      <c r="E60" t="s">
        <v>278</v>
      </c>
      <c r="F60">
        <v>720</v>
      </c>
      <c r="G60" t="s">
        <v>611</v>
      </c>
      <c r="H60" t="s">
        <v>37</v>
      </c>
      <c r="I60">
        <v>5</v>
      </c>
    </row>
    <row r="61" spans="1:9" x14ac:dyDescent="0.25">
      <c r="A61" t="s">
        <v>541</v>
      </c>
      <c r="B61" t="s">
        <v>299</v>
      </c>
      <c r="C61" t="s">
        <v>300</v>
      </c>
      <c r="D61" t="s">
        <v>300</v>
      </c>
      <c r="E61" t="s">
        <v>278</v>
      </c>
      <c r="F61">
        <v>225</v>
      </c>
      <c r="G61" t="s">
        <v>612</v>
      </c>
      <c r="H61" t="s">
        <v>37</v>
      </c>
      <c r="I61">
        <v>5</v>
      </c>
    </row>
    <row r="62" spans="1:9" x14ac:dyDescent="0.25">
      <c r="A62" t="s">
        <v>542</v>
      </c>
      <c r="B62" t="s">
        <v>301</v>
      </c>
      <c r="C62" t="s">
        <v>118</v>
      </c>
      <c r="D62" t="s">
        <v>148</v>
      </c>
      <c r="E62" t="s">
        <v>278</v>
      </c>
      <c r="F62">
        <v>320</v>
      </c>
      <c r="G62" t="s">
        <v>613</v>
      </c>
      <c r="H62" t="s">
        <v>37</v>
      </c>
      <c r="I62">
        <v>5</v>
      </c>
    </row>
    <row r="63" spans="1:9" x14ac:dyDescent="0.25">
      <c r="A63" t="s">
        <v>543</v>
      </c>
      <c r="B63" t="s">
        <v>302</v>
      </c>
      <c r="C63" t="s">
        <v>85</v>
      </c>
      <c r="D63" t="s">
        <v>218</v>
      </c>
      <c r="E63" t="s">
        <v>278</v>
      </c>
      <c r="F63">
        <v>206</v>
      </c>
      <c r="G63" t="s">
        <v>614</v>
      </c>
      <c r="H63" t="s">
        <v>37</v>
      </c>
      <c r="I63">
        <v>5</v>
      </c>
    </row>
    <row r="64" spans="1:9" x14ac:dyDescent="0.25">
      <c r="A64" t="s">
        <v>544</v>
      </c>
      <c r="B64" t="s">
        <v>303</v>
      </c>
      <c r="C64" t="s">
        <v>294</v>
      </c>
      <c r="D64" t="s">
        <v>294</v>
      </c>
      <c r="E64" t="s">
        <v>278</v>
      </c>
      <c r="F64">
        <v>395</v>
      </c>
      <c r="G64" t="s">
        <v>616</v>
      </c>
      <c r="H64" t="s">
        <v>37</v>
      </c>
      <c r="I64">
        <v>5</v>
      </c>
    </row>
    <row r="65" spans="1:10" x14ac:dyDescent="0.25">
      <c r="A65" t="s">
        <v>545</v>
      </c>
      <c r="B65" t="s">
        <v>304</v>
      </c>
      <c r="C65" t="s">
        <v>294</v>
      </c>
      <c r="D65" t="s">
        <v>294</v>
      </c>
      <c r="E65" t="s">
        <v>278</v>
      </c>
      <c r="F65">
        <v>495</v>
      </c>
      <c r="G65" t="s">
        <v>618</v>
      </c>
      <c r="H65" t="s">
        <v>37</v>
      </c>
      <c r="I65">
        <v>5</v>
      </c>
    </row>
    <row r="66" spans="1:10" x14ac:dyDescent="0.25">
      <c r="A66" t="s">
        <v>546</v>
      </c>
      <c r="B66" t="s">
        <v>305</v>
      </c>
      <c r="C66" t="s">
        <v>294</v>
      </c>
      <c r="D66" t="s">
        <v>294</v>
      </c>
      <c r="E66" t="s">
        <v>278</v>
      </c>
      <c r="F66">
        <v>710</v>
      </c>
      <c r="G66" t="s">
        <v>619</v>
      </c>
      <c r="H66" t="s">
        <v>37</v>
      </c>
      <c r="I66">
        <v>5</v>
      </c>
      <c r="J66">
        <v>53</v>
      </c>
    </row>
    <row r="67" spans="1:10" x14ac:dyDescent="0.25">
      <c r="A67" t="s">
        <v>547</v>
      </c>
      <c r="B67" t="s">
        <v>306</v>
      </c>
      <c r="C67" t="s">
        <v>294</v>
      </c>
      <c r="D67" t="s">
        <v>294</v>
      </c>
      <c r="E67" t="s">
        <v>278</v>
      </c>
      <c r="F67">
        <v>702</v>
      </c>
      <c r="G67" t="s">
        <v>473</v>
      </c>
      <c r="H67" t="s">
        <v>474</v>
      </c>
      <c r="I67">
        <v>1</v>
      </c>
      <c r="J67">
        <v>31</v>
      </c>
    </row>
    <row r="68" spans="1:10" x14ac:dyDescent="0.25">
      <c r="A68" t="s">
        <v>548</v>
      </c>
      <c r="B68" t="s">
        <v>307</v>
      </c>
      <c r="C68" t="s">
        <v>294</v>
      </c>
      <c r="D68" t="s">
        <v>294</v>
      </c>
      <c r="E68" t="s">
        <v>278</v>
      </c>
      <c r="F68">
        <v>600</v>
      </c>
      <c r="G68" t="s">
        <v>622</v>
      </c>
      <c r="H68" t="s">
        <v>37</v>
      </c>
      <c r="I68">
        <v>5</v>
      </c>
    </row>
    <row r="69" spans="1:10" x14ac:dyDescent="0.25">
      <c r="A69" t="s">
        <v>549</v>
      </c>
      <c r="B69" t="s">
        <v>308</v>
      </c>
      <c r="C69" t="s">
        <v>91</v>
      </c>
      <c r="D69" t="s">
        <v>672</v>
      </c>
      <c r="E69" t="s">
        <v>278</v>
      </c>
      <c r="F69">
        <v>450</v>
      </c>
      <c r="G69" t="s">
        <v>624</v>
      </c>
      <c r="H69" t="s">
        <v>37</v>
      </c>
      <c r="I69">
        <v>5</v>
      </c>
    </row>
    <row r="70" spans="1:10" x14ac:dyDescent="0.25">
      <c r="A70" t="s">
        <v>550</v>
      </c>
      <c r="B70" t="s">
        <v>309</v>
      </c>
      <c r="C70" t="s">
        <v>310</v>
      </c>
      <c r="D70" t="s">
        <v>294</v>
      </c>
      <c r="E70" t="s">
        <v>278</v>
      </c>
      <c r="F70">
        <v>585</v>
      </c>
      <c r="G70" t="s">
        <v>625</v>
      </c>
      <c r="H70" t="s">
        <v>37</v>
      </c>
      <c r="I70">
        <v>5</v>
      </c>
    </row>
    <row r="71" spans="1:10" x14ac:dyDescent="0.25">
      <c r="A71" t="s">
        <v>551</v>
      </c>
      <c r="B71" t="s">
        <v>311</v>
      </c>
      <c r="C71" t="s">
        <v>312</v>
      </c>
      <c r="D71" t="s">
        <v>312</v>
      </c>
      <c r="E71" t="s">
        <v>313</v>
      </c>
      <c r="F71">
        <v>260</v>
      </c>
      <c r="G71" t="s">
        <v>626</v>
      </c>
      <c r="H71" t="s">
        <v>37</v>
      </c>
      <c r="I71">
        <v>5</v>
      </c>
    </row>
    <row r="72" spans="1:10" x14ac:dyDescent="0.25">
      <c r="A72" t="s">
        <v>552</v>
      </c>
      <c r="B72" t="s">
        <v>314</v>
      </c>
      <c r="C72" t="s">
        <v>315</v>
      </c>
      <c r="D72" t="s">
        <v>316</v>
      </c>
      <c r="E72" t="s">
        <v>313</v>
      </c>
      <c r="F72">
        <v>265</v>
      </c>
      <c r="G72" t="s">
        <v>627</v>
      </c>
      <c r="H72" t="s">
        <v>37</v>
      </c>
      <c r="I72">
        <v>5</v>
      </c>
    </row>
    <row r="73" spans="1:10" x14ac:dyDescent="0.25">
      <c r="A73" t="s">
        <v>553</v>
      </c>
      <c r="B73" t="s">
        <v>317</v>
      </c>
      <c r="C73" t="s">
        <v>318</v>
      </c>
      <c r="D73" t="s">
        <v>133</v>
      </c>
      <c r="E73" t="s">
        <v>313</v>
      </c>
      <c r="F73">
        <v>260</v>
      </c>
      <c r="G73" t="s">
        <v>482</v>
      </c>
      <c r="H73" t="s">
        <v>37</v>
      </c>
      <c r="I73">
        <v>5</v>
      </c>
    </row>
    <row r="74" spans="1:10" x14ac:dyDescent="0.25">
      <c r="A74" t="s">
        <v>554</v>
      </c>
      <c r="B74" t="s">
        <v>319</v>
      </c>
      <c r="C74" t="s">
        <v>91</v>
      </c>
      <c r="D74" t="s">
        <v>231</v>
      </c>
      <c r="E74" t="s">
        <v>313</v>
      </c>
      <c r="F74">
        <v>217</v>
      </c>
      <c r="G74" t="s">
        <v>630</v>
      </c>
      <c r="H74" t="s">
        <v>37</v>
      </c>
      <c r="I74">
        <v>5</v>
      </c>
      <c r="J74">
        <v>25</v>
      </c>
    </row>
    <row r="75" spans="1:10" x14ac:dyDescent="0.25">
      <c r="A75" t="s">
        <v>555</v>
      </c>
      <c r="B75" t="s">
        <v>320</v>
      </c>
      <c r="C75" t="s">
        <v>321</v>
      </c>
      <c r="D75" t="s">
        <v>321</v>
      </c>
      <c r="E75" t="s">
        <v>313</v>
      </c>
      <c r="F75">
        <v>219</v>
      </c>
      <c r="G75" t="s">
        <v>632</v>
      </c>
      <c r="H75" t="s">
        <v>37</v>
      </c>
      <c r="I75">
        <v>5</v>
      </c>
    </row>
    <row r="76" spans="1:10" x14ac:dyDescent="0.25">
      <c r="A76" t="s">
        <v>556</v>
      </c>
      <c r="B76" t="s">
        <v>322</v>
      </c>
      <c r="C76" t="s">
        <v>315</v>
      </c>
      <c r="D76" t="s">
        <v>316</v>
      </c>
      <c r="E76" t="s">
        <v>313</v>
      </c>
      <c r="F76">
        <v>575</v>
      </c>
      <c r="G76" t="s">
        <v>633</v>
      </c>
      <c r="H76" t="s">
        <v>37</v>
      </c>
      <c r="I76">
        <v>5</v>
      </c>
    </row>
    <row r="77" spans="1:10" x14ac:dyDescent="0.25">
      <c r="A77" t="s">
        <v>557</v>
      </c>
      <c r="B77" t="s">
        <v>323</v>
      </c>
      <c r="C77" t="s">
        <v>324</v>
      </c>
      <c r="D77" t="s">
        <v>673</v>
      </c>
      <c r="E77" t="s">
        <v>325</v>
      </c>
      <c r="F77">
        <v>189</v>
      </c>
      <c r="G77" t="s">
        <v>635</v>
      </c>
      <c r="H77" t="s">
        <v>37</v>
      </c>
      <c r="I77">
        <v>5</v>
      </c>
      <c r="J77">
        <v>36</v>
      </c>
    </row>
    <row r="78" spans="1:10" x14ac:dyDescent="0.25">
      <c r="A78" t="s">
        <v>558</v>
      </c>
      <c r="B78" t="s">
        <v>326</v>
      </c>
      <c r="C78" t="s">
        <v>327</v>
      </c>
      <c r="D78" t="s">
        <v>327</v>
      </c>
      <c r="E78" t="s">
        <v>325</v>
      </c>
      <c r="F78">
        <v>108</v>
      </c>
      <c r="G78" t="s">
        <v>636</v>
      </c>
      <c r="H78" t="s">
        <v>37</v>
      </c>
      <c r="I78">
        <v>5</v>
      </c>
    </row>
    <row r="79" spans="1:10" x14ac:dyDescent="0.25">
      <c r="A79" t="s">
        <v>559</v>
      </c>
      <c r="B79" t="s">
        <v>328</v>
      </c>
      <c r="C79" t="s">
        <v>329</v>
      </c>
      <c r="D79" t="s">
        <v>329</v>
      </c>
      <c r="E79" t="s">
        <v>325</v>
      </c>
      <c r="F79">
        <v>90</v>
      </c>
      <c r="G79" t="s">
        <v>637</v>
      </c>
      <c r="H79" t="s">
        <v>37</v>
      </c>
    </row>
    <row r="80" spans="1:10" x14ac:dyDescent="0.25">
      <c r="A80" t="s">
        <v>560</v>
      </c>
      <c r="B80" t="s">
        <v>330</v>
      </c>
      <c r="C80" t="s">
        <v>674</v>
      </c>
      <c r="D80" t="s">
        <v>331</v>
      </c>
      <c r="E80" t="s">
        <v>325</v>
      </c>
      <c r="F80">
        <v>127</v>
      </c>
      <c r="G80" t="s">
        <v>638</v>
      </c>
      <c r="H80" t="s">
        <v>37</v>
      </c>
      <c r="I80">
        <v>5</v>
      </c>
    </row>
    <row r="81" spans="1:9" x14ac:dyDescent="0.25">
      <c r="A81" t="s">
        <v>561</v>
      </c>
      <c r="B81" t="s">
        <v>332</v>
      </c>
      <c r="C81" t="s">
        <v>329</v>
      </c>
      <c r="D81" t="s">
        <v>329</v>
      </c>
      <c r="E81" t="s">
        <v>325</v>
      </c>
      <c r="F81">
        <v>133</v>
      </c>
      <c r="G81" t="s">
        <v>639</v>
      </c>
      <c r="H81" t="s">
        <v>37</v>
      </c>
      <c r="I81">
        <v>5</v>
      </c>
    </row>
    <row r="82" spans="1:9" x14ac:dyDescent="0.25">
      <c r="A82" t="s">
        <v>562</v>
      </c>
      <c r="B82" t="s">
        <v>333</v>
      </c>
      <c r="C82" t="s">
        <v>261</v>
      </c>
      <c r="D82" t="s">
        <v>675</v>
      </c>
      <c r="E82" t="s">
        <v>325</v>
      </c>
      <c r="F82">
        <v>142</v>
      </c>
      <c r="G82" t="s">
        <v>640</v>
      </c>
      <c r="H82" t="s">
        <v>37</v>
      </c>
    </row>
    <row r="83" spans="1:9" x14ac:dyDescent="0.25">
      <c r="A83" t="s">
        <v>563</v>
      </c>
      <c r="B83" t="s">
        <v>334</v>
      </c>
      <c r="C83" t="s">
        <v>138</v>
      </c>
      <c r="D83" t="s">
        <v>138</v>
      </c>
      <c r="E83" t="s">
        <v>335</v>
      </c>
      <c r="F83">
        <v>137</v>
      </c>
      <c r="G83" t="s">
        <v>642</v>
      </c>
      <c r="H83" t="s">
        <v>37</v>
      </c>
    </row>
    <row r="84" spans="1:9" x14ac:dyDescent="0.25">
      <c r="A84" t="s">
        <v>564</v>
      </c>
      <c r="B84" t="s">
        <v>676</v>
      </c>
      <c r="C84" t="s">
        <v>118</v>
      </c>
      <c r="D84" t="s">
        <v>634</v>
      </c>
      <c r="E84" t="s">
        <v>335</v>
      </c>
      <c r="F84">
        <v>116</v>
      </c>
      <c r="G84" t="s">
        <v>645</v>
      </c>
      <c r="H84" t="s">
        <v>37</v>
      </c>
    </row>
    <row r="85" spans="1:9" x14ac:dyDescent="0.25">
      <c r="A85" t="s">
        <v>565</v>
      </c>
      <c r="B85" t="s">
        <v>336</v>
      </c>
      <c r="C85" t="s">
        <v>337</v>
      </c>
      <c r="D85" t="s">
        <v>338</v>
      </c>
      <c r="E85" t="s">
        <v>335</v>
      </c>
      <c r="F85">
        <v>91</v>
      </c>
      <c r="G85" t="s">
        <v>642</v>
      </c>
      <c r="H85" t="s">
        <v>37</v>
      </c>
    </row>
    <row r="86" spans="1:9" x14ac:dyDescent="0.25">
      <c r="A86" t="s">
        <v>566</v>
      </c>
      <c r="B86" t="s">
        <v>339</v>
      </c>
      <c r="C86" t="s">
        <v>340</v>
      </c>
      <c r="D86" t="s">
        <v>340</v>
      </c>
      <c r="E86" t="s">
        <v>335</v>
      </c>
      <c r="F86">
        <v>72</v>
      </c>
      <c r="G86" t="s">
        <v>640</v>
      </c>
      <c r="H86" t="s">
        <v>37</v>
      </c>
    </row>
    <row r="87" spans="1:9" x14ac:dyDescent="0.25">
      <c r="A87" t="s">
        <v>567</v>
      </c>
      <c r="B87" t="s">
        <v>677</v>
      </c>
      <c r="C87" t="s">
        <v>118</v>
      </c>
      <c r="D87" t="s">
        <v>341</v>
      </c>
      <c r="E87" t="s">
        <v>335</v>
      </c>
      <c r="F87">
        <v>88</v>
      </c>
      <c r="G87" t="s">
        <v>639</v>
      </c>
      <c r="H87" t="s">
        <v>37</v>
      </c>
    </row>
    <row r="88" spans="1:9" x14ac:dyDescent="0.25">
      <c r="A88" t="s">
        <v>568</v>
      </c>
      <c r="B88" t="s">
        <v>342</v>
      </c>
      <c r="C88" t="s">
        <v>678</v>
      </c>
      <c r="D88" t="s">
        <v>679</v>
      </c>
      <c r="E88" t="s">
        <v>343</v>
      </c>
      <c r="F88">
        <v>4</v>
      </c>
      <c r="G88" t="s">
        <v>638</v>
      </c>
      <c r="H88" t="s">
        <v>37</v>
      </c>
      <c r="I88">
        <v>5</v>
      </c>
    </row>
    <row r="89" spans="1:9" x14ac:dyDescent="0.25">
      <c r="A89" t="s">
        <v>569</v>
      </c>
      <c r="B89" t="s">
        <v>344</v>
      </c>
      <c r="C89" t="s">
        <v>345</v>
      </c>
      <c r="D89" t="s">
        <v>680</v>
      </c>
      <c r="E89" t="s">
        <v>343</v>
      </c>
      <c r="F89">
        <v>33</v>
      </c>
      <c r="G89" t="s">
        <v>637</v>
      </c>
      <c r="H89" t="s">
        <v>37</v>
      </c>
    </row>
    <row r="90" spans="1:9" x14ac:dyDescent="0.25">
      <c r="A90" t="s">
        <v>570</v>
      </c>
      <c r="B90" t="s">
        <v>346</v>
      </c>
      <c r="C90" t="s">
        <v>85</v>
      </c>
      <c r="D90" t="s">
        <v>681</v>
      </c>
      <c r="E90" t="s">
        <v>343</v>
      </c>
      <c r="F90">
        <v>1</v>
      </c>
      <c r="G90" t="s">
        <v>636</v>
      </c>
      <c r="H90" t="s">
        <v>37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7DCA9F-6B45-4C3F-AD3D-BEEAF4A3C1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A</vt:lpstr>
      <vt:lpstr>Arkusz2</vt:lpstr>
      <vt:lpstr>Table001 (Page 1)</vt:lpstr>
      <vt:lpstr>Table002 (Page 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Bartłomiej Sobczyk (RZGW Poznań)</dc:creator>
  <cp:lastModifiedBy>Bartłomiej Sobczyk (RZGW Poznań)</cp:lastModifiedBy>
  <dcterms:created xsi:type="dcterms:W3CDTF">2023-12-14T13:01:27Z</dcterms:created>
  <dcterms:modified xsi:type="dcterms:W3CDTF">2023-12-19T12:17:02Z</dcterms:modified>
</cp:coreProperties>
</file>